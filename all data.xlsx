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3604616E-8EC8-4DFA-A022-80F80F273D25}" xr6:coauthVersionLast="47" xr6:coauthVersionMax="47" xr10:uidLastSave="{00000000-0000-0000-0000-000000000000}"/>
  <bookViews>
    <workbookView xWindow="-108" yWindow="-108" windowWidth="23256" windowHeight="13176" activeTab="1" xr2:uid="{8DA5C70D-43A1-4088-B22F-4DAC83155835}"/>
  </bookViews>
  <sheets>
    <sheet name="Patients" sheetId="1" r:id="rId1"/>
    <sheet name="Labs" sheetId="2" r:id="rId2"/>
    <sheet name="Diagnosis" sheetId="3" r:id="rId3"/>
    <sheet name="Outcomes" sheetId="4" r:id="rId4"/>
  </sheets>
  <definedNames>
    <definedName name="_xlnm._FilterDatabase" localSheetId="1" hidden="1">Labs!$A$1:$E$201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</calcChain>
</file>

<file path=xl/sharedStrings.xml><?xml version="1.0" encoding="utf-8"?>
<sst xmlns="http://schemas.openxmlformats.org/spreadsheetml/2006/main" count="835" uniqueCount="244">
  <si>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</si>
  <si>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</si>
  <si>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</si>
  <si>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</si>
  <si>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</si>
  <si>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</si>
  <si>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</si>
  <si>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</si>
  <si>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</si>
  <si>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</si>
  <si>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</si>
  <si>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</si>
  <si>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</si>
  <si>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</si>
  <si>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</si>
  <si>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</si>
  <si>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</si>
  <si>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</si>
  <si>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</si>
  <si>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</si>
  <si>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</si>
  <si>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</si>
  <si>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</si>
  <si>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</si>
  <si>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</si>
  <si>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</si>
  <si>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</si>
  <si>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</si>
  <si>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</si>
  <si>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</si>
  <si>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</si>
  <si>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</si>
  <si>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</si>
  <si>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</si>
  <si>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</si>
  <si>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</si>
  <si>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</si>
  <si>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</si>
  <si>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</si>
  <si>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</si>
  <si>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</si>
  <si>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</si>
  <si>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</si>
  <si>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</si>
  <si>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</si>
  <si>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</si>
  <si>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</si>
  <si>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</si>
  <si>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</si>
  <si>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</si>
  <si>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</si>
  <si>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</si>
  <si>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</si>
  <si>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</si>
  <si>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</si>
  <si>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</si>
  <si>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</si>
  <si>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</si>
  <si>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</si>
  <si>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</si>
  <si>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</si>
  <si>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</si>
  <si>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</si>
  <si>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</si>
  <si>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</si>
  <si>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</si>
  <si>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</si>
  <si>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</si>
  <si>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</si>
  <si>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</si>
  <si>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</si>
  <si>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</si>
  <si>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</si>
  <si>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</si>
  <si>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</si>
  <si>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</si>
  <si>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</si>
  <si>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</si>
  <si>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</si>
  <si>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</si>
  <si>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</si>
  <si>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</si>
  <si>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</si>
  <si>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</si>
  <si>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</si>
  <si>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</si>
  <si>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</si>
  <si>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</si>
  <si>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</si>
  <si>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</si>
  <si>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</si>
  <si>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</si>
  <si>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</si>
  <si>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</si>
  <si>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</si>
  <si>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</si>
  <si>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</si>
  <si>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</si>
  <si>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</si>
  <si>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</si>
  <si>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</si>
  <si>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</si>
  <si>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</si>
  <si>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</si>
  <si>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</si>
  <si>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</si>
  <si>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</si>
  <si>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</si>
  <si>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</si>
  <si>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</si>
  <si>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</si>
  <si>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</si>
  <si>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</si>
  <si>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</si>
  <si>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</si>
  <si>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</si>
  <si>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</si>
  <si>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</si>
  <si>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</si>
  <si>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</si>
  <si>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</si>
  <si>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</si>
  <si>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</si>
  <si>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</si>
  <si>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</si>
  <si>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</si>
  <si>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</si>
  <si>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</si>
  <si>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</si>
  <si>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</si>
  <si>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</si>
  <si>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</si>
  <si>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</si>
  <si>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</si>
  <si>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</si>
  <si>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</si>
  <si>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</si>
  <si>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</si>
  <si>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</si>
  <si>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</si>
  <si>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</si>
  <si>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</si>
  <si>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</si>
  <si>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</si>
  <si>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</si>
  <si>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</si>
  <si>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</si>
  <si>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</si>
  <si>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</si>
  <si>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</si>
  <si>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</si>
  <si>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</si>
  <si>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</si>
  <si>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</si>
  <si>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</si>
  <si>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</si>
  <si>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</si>
  <si>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</si>
  <si>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</si>
  <si>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</si>
  <si>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</si>
  <si>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</si>
  <si>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</si>
  <si>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</si>
  <si>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</si>
  <si>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</si>
  <si>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</si>
  <si>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</si>
  <si>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</si>
  <si>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</si>
  <si>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</si>
  <si>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</si>
  <si>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</si>
  <si>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</si>
  <si>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</si>
  <si>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</si>
  <si>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</si>
  <si>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</si>
  <si>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</si>
  <si>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</si>
  <si>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</si>
  <si>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</si>
  <si>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</si>
  <si>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</si>
  <si>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</si>
  <si>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</si>
  <si>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</si>
  <si>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</si>
  <si>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</si>
  <si>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</si>
  <si>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</si>
  <si>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</si>
  <si>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</si>
  <si>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</si>
  <si>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</si>
  <si>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</si>
  <si>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</si>
  <si>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</si>
  <si>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</si>
  <si>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</si>
  <si>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</si>
  <si>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</si>
  <si>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</si>
  <si>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</si>
  <si>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</si>
  <si>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</si>
  <si>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</si>
  <si>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</si>
  <si>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</si>
  <si>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</si>
  <si>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</si>
  <si>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</si>
  <si>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</si>
  <si>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</si>
  <si>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</si>
  <si>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</si>
  <si>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</si>
  <si>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</si>
  <si>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</si>
  <si>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</si>
  <si>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</si>
  <si>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</si>
  <si>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</si>
  <si>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</si>
  <si>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</si>
  <si>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</si>
  <si>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</si>
  <si>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</si>
  <si>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</si>
  <si>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</si>
  <si>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</si>
  <si>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</si>
  <si>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</si>
  <si>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</si>
  <si>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</si>
  <si>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</si>
  <si>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</si>
  <si>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</si>
  <si>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OutcomeName</t>
  </si>
  <si>
    <t>Recovered</t>
  </si>
  <si>
    <t>Complicated</t>
  </si>
  <si>
    <t>Deceased</t>
  </si>
  <si>
    <t>LengthOfStay</t>
  </si>
  <si>
    <t>AbnormalBloodSugarFlag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</si>
</sst>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5321-2E9D-4922-8745-CC32204C8BFD}">
  <dimension ref="A1:M201"/>
  <sheetViews>
    <sheetView workbookViewId="0">
      <selection activeCell="M2" sqref="M2"/>
    </sheetView>
  </sheetViews>
  <sheetFormatPr defaultRowHeight="14.4" x14ac:dyDescent="0.3"/>
  <cols>
    <col min="5" max="5" width="10.44140625" bestFit="1" customWidth="1"/>
    <col min="6" max="6" width="13.21875" bestFit="1" customWidth="1"/>
    <col min="7" max="7" width="12.77734375" bestFit="1" customWidth="1"/>
    <col min="8" max="8" width="10.33203125" bestFit="1" customWidth="1"/>
    <col min="9" max="9" width="13.33203125" bestFit="1" customWidth="1"/>
    <col min="10" max="10" width="13.109375" bestFit="1" customWidth="1"/>
    <col min="11" max="11" width="13.5546875" bestFit="1" customWidth="1"/>
    <col min="12" max="12" width="11.88671875" bestFit="1" customWidth="1"/>
    <col min="13" max="13" width="21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227</v>
      </c>
      <c r="K1" s="1" t="s">
        <v>238</v>
      </c>
      <c r="L1" s="1" t="s">
        <v>242</v>
      </c>
      <c r="M1" s="1" t="s">
        <v>243</v>
      </c>
    </row>
    <row r="2" spans="1:13" x14ac:dyDescent="0.3">
      <c r="A2" s="1">
        <v>1</v>
      </c>
      <c r="B2" s="1" t="s">
        <v>9</v>
      </c>
      <c r="C2" s="1">
        <v>68</v>
      </c>
      <c r="D2" s="1" t="s">
        <v>10</v>
      </c>
      <c r="E2" s="1">
        <v>2</v>
      </c>
      <c r="F2" s="2">
        <v>45738</v>
      </c>
      <c r="G2" s="2">
        <v>45751</v>
      </c>
      <c r="H2" s="1">
        <v>1</v>
      </c>
      <c r="I2" s="1">
        <v>4443</v>
      </c>
      <c r="J2" t="str">
        <f>VLOOKUP(E2,Diagnosis!$A$2:$B$11,2,FALSE)</f>
        <v>Diabetes</v>
      </c>
      <c r="K2" t="str">
        <f>VLOOKUP(H2,Outcomes!$A$2:$B$4,2,)</f>
        <v>Recovered</v>
      </c>
      <c r="L2">
        <f>DATEDIF(F2,G2,"d")</f>
        <v>13</v>
      </c>
      <c r="M2" t="str">
        <f>IF(VLOOKUP(A2,$A$2:$D$201,3,FALSE)&gt;120,"High","Normal")</f>
        <v>Normal</v>
      </c>
    </row>
    <row r="3" spans="1:13" x14ac:dyDescent="0.3">
      <c r="A3" s="1">
        <v>2</v>
      </c>
      <c r="B3" s="1" t="s">
        <v>11</v>
      </c>
      <c r="C3" s="1">
        <v>81</v>
      </c>
      <c r="D3" s="1" t="s">
        <v>10</v>
      </c>
      <c r="E3" s="1">
        <v>2</v>
      </c>
      <c r="F3" s="2">
        <v>45747</v>
      </c>
      <c r="G3" s="2">
        <v>45749</v>
      </c>
      <c r="H3" s="1">
        <v>2</v>
      </c>
      <c r="I3" s="1">
        <v>4265</v>
      </c>
      <c r="J3" t="str">
        <f>VLOOKUP(E3,Diagnosis!$A$2:$B$11,2,FALSE)</f>
        <v>Diabetes</v>
      </c>
      <c r="K3" t="str">
        <f>VLOOKUP(H3,Outcomes!$A$2:$B$4,2,)</f>
        <v>Complicated</v>
      </c>
      <c r="L3">
        <f t="shared" ref="L3:L66" si="0">DATEDIF(F3,G3,"d")</f>
        <v>2</v>
      </c>
      <c r="M3" t="str">
        <f t="shared" ref="M3:M66" si="1">IF(VLOOKUP(A3,$A$2:$D$201,3,FALSE)&gt;120,"High","Normal")</f>
        <v>Normal</v>
      </c>
    </row>
    <row r="4" spans="1:13" x14ac:dyDescent="0.3">
      <c r="A4" s="1">
        <v>3</v>
      </c>
      <c r="B4" s="1" t="s">
        <v>12</v>
      </c>
      <c r="C4" s="1">
        <v>58</v>
      </c>
      <c r="D4" s="1" t="s">
        <v>10</v>
      </c>
      <c r="E4" s="1">
        <v>6</v>
      </c>
      <c r="F4" s="2">
        <v>45665</v>
      </c>
      <c r="G4" s="2">
        <v>45729</v>
      </c>
      <c r="H4" s="1">
        <v>1</v>
      </c>
      <c r="I4" s="1">
        <v>4188</v>
      </c>
      <c r="J4" t="str">
        <f>VLOOKUP(E4,Diagnosis!$A$2:$B$11,2,FALSE)</f>
        <v>COPD</v>
      </c>
      <c r="K4" t="str">
        <f>VLOOKUP(H4,Outcomes!$A$2:$B$4,2,)</f>
        <v>Recovered</v>
      </c>
      <c r="L4">
        <f t="shared" si="0"/>
        <v>64</v>
      </c>
      <c r="M4" t="str">
        <f t="shared" si="1"/>
        <v>Normal</v>
      </c>
    </row>
    <row r="5" spans="1:13" x14ac:dyDescent="0.3">
      <c r="A5" s="1">
        <v>4</v>
      </c>
      <c r="B5" s="1" t="s">
        <v>13</v>
      </c>
      <c r="C5" s="1">
        <v>44</v>
      </c>
      <c r="D5" s="1" t="s">
        <v>14</v>
      </c>
      <c r="E5" s="1">
        <v>3</v>
      </c>
      <c r="F5" s="2">
        <v>45750</v>
      </c>
      <c r="G5" s="2">
        <v>45752</v>
      </c>
      <c r="H5" s="1">
        <v>1</v>
      </c>
      <c r="I5" s="1">
        <v>9783</v>
      </c>
      <c r="J5" t="str">
        <f>VLOOKUP(E5,Diagnosis!$A$2:$B$11,2,FALSE)</f>
        <v>Heart Disease</v>
      </c>
      <c r="K5" t="str">
        <f>VLOOKUP(H5,Outcomes!$A$2:$B$4,2,)</f>
        <v>Recovered</v>
      </c>
      <c r="L5">
        <f t="shared" si="0"/>
        <v>2</v>
      </c>
      <c r="M5" t="str">
        <f t="shared" si="1"/>
        <v>Normal</v>
      </c>
    </row>
    <row r="6" spans="1:13" x14ac:dyDescent="0.3">
      <c r="A6" s="1">
        <v>5</v>
      </c>
      <c r="B6" s="1" t="s">
        <v>15</v>
      </c>
      <c r="C6" s="1">
        <v>72</v>
      </c>
      <c r="D6" s="1" t="s">
        <v>14</v>
      </c>
      <c r="E6" s="1">
        <v>9</v>
      </c>
      <c r="F6" s="2">
        <v>45811</v>
      </c>
      <c r="G6" s="2">
        <v>45812</v>
      </c>
      <c r="H6" s="1">
        <v>1</v>
      </c>
      <c r="I6" s="1">
        <v>5005</v>
      </c>
      <c r="J6" t="str">
        <f>VLOOKUP(E6,Diagnosis!$A$2:$B$11,2,FALSE)</f>
        <v>Kidney Disease</v>
      </c>
      <c r="K6" t="str">
        <f>VLOOKUP(H6,Outcomes!$A$2:$B$4,2,)</f>
        <v>Recovered</v>
      </c>
      <c r="L6">
        <f t="shared" si="0"/>
        <v>1</v>
      </c>
      <c r="M6" t="str">
        <f t="shared" si="1"/>
        <v>Normal</v>
      </c>
    </row>
    <row r="7" spans="1:13" x14ac:dyDescent="0.3">
      <c r="A7" s="1">
        <v>6</v>
      </c>
      <c r="B7" s="1" t="s">
        <v>16</v>
      </c>
      <c r="C7" s="1">
        <v>37</v>
      </c>
      <c r="D7" s="1" t="s">
        <v>14</v>
      </c>
      <c r="E7" s="1">
        <v>4</v>
      </c>
      <c r="F7" s="2">
        <v>45747</v>
      </c>
      <c r="G7" s="2">
        <v>45752</v>
      </c>
      <c r="H7" s="1">
        <v>1</v>
      </c>
      <c r="I7" s="1">
        <v>5281</v>
      </c>
      <c r="J7" t="str">
        <f>VLOOKUP(E7,Diagnosis!$A$2:$B$11,2,FALSE)</f>
        <v>Asthma</v>
      </c>
      <c r="K7" t="str">
        <f>VLOOKUP(H7,Outcomes!$A$2:$B$4,2,)</f>
        <v>Recovered</v>
      </c>
      <c r="L7">
        <f t="shared" si="0"/>
        <v>5</v>
      </c>
      <c r="M7" t="str">
        <f t="shared" si="1"/>
        <v>Normal</v>
      </c>
    </row>
    <row r="8" spans="1:13" x14ac:dyDescent="0.3">
      <c r="A8" s="1">
        <v>7</v>
      </c>
      <c r="B8" s="1" t="s">
        <v>17</v>
      </c>
      <c r="C8" s="1">
        <v>50</v>
      </c>
      <c r="D8" s="1" t="s">
        <v>14</v>
      </c>
      <c r="E8" s="1">
        <v>1</v>
      </c>
      <c r="F8" s="2">
        <v>45819</v>
      </c>
      <c r="G8" s="2">
        <v>45843</v>
      </c>
      <c r="H8" s="1">
        <v>2</v>
      </c>
      <c r="I8" s="1">
        <v>2984</v>
      </c>
      <c r="J8" t="str">
        <f>VLOOKUP(E8,Diagnosis!$A$2:$B$11,2,FALSE)</f>
        <v>Hypertension</v>
      </c>
      <c r="K8" t="str">
        <f>VLOOKUP(H8,Outcomes!$A$2:$B$4,2,)</f>
        <v>Complicated</v>
      </c>
      <c r="L8">
        <f t="shared" si="0"/>
        <v>24</v>
      </c>
      <c r="M8" t="str">
        <f t="shared" si="1"/>
        <v>Normal</v>
      </c>
    </row>
    <row r="9" spans="1:13" x14ac:dyDescent="0.3">
      <c r="A9" s="1">
        <v>8</v>
      </c>
      <c r="B9" s="1" t="s">
        <v>18</v>
      </c>
      <c r="C9" s="1">
        <v>68</v>
      </c>
      <c r="D9" s="1" t="s">
        <v>10</v>
      </c>
      <c r="E9" s="1">
        <v>4</v>
      </c>
      <c r="F9" s="2">
        <v>45772</v>
      </c>
      <c r="G9" s="2">
        <v>45827</v>
      </c>
      <c r="H9" s="1">
        <v>1</v>
      </c>
      <c r="I9" s="1">
        <v>9136</v>
      </c>
      <c r="J9" t="str">
        <f>VLOOKUP(E9,Diagnosis!$A$2:$B$11,2,FALSE)</f>
        <v>Asthma</v>
      </c>
      <c r="K9" t="str">
        <f>VLOOKUP(H9,Outcomes!$A$2:$B$4,2,)</f>
        <v>Recovered</v>
      </c>
      <c r="L9">
        <f t="shared" si="0"/>
        <v>55</v>
      </c>
      <c r="M9" t="str">
        <f t="shared" si="1"/>
        <v>Normal</v>
      </c>
    </row>
    <row r="10" spans="1:13" x14ac:dyDescent="0.3">
      <c r="A10" s="1">
        <v>9</v>
      </c>
      <c r="B10" s="1" t="s">
        <v>19</v>
      </c>
      <c r="C10" s="1">
        <v>87</v>
      </c>
      <c r="D10" s="1" t="s">
        <v>14</v>
      </c>
      <c r="E10" s="1">
        <v>1</v>
      </c>
      <c r="F10" s="2">
        <v>45762</v>
      </c>
      <c r="G10" s="2">
        <v>45764</v>
      </c>
      <c r="H10" s="1">
        <v>2</v>
      </c>
      <c r="I10" s="1">
        <v>9790</v>
      </c>
      <c r="J10" t="str">
        <f>VLOOKUP(E10,Diagnosis!$A$2:$B$11,2,FALSE)</f>
        <v>Hypertension</v>
      </c>
      <c r="K10" t="str">
        <f>VLOOKUP(H10,Outcomes!$A$2:$B$4,2,)</f>
        <v>Complicated</v>
      </c>
      <c r="L10">
        <f t="shared" si="0"/>
        <v>2</v>
      </c>
      <c r="M10" t="str">
        <f t="shared" si="1"/>
        <v>Normal</v>
      </c>
    </row>
    <row r="11" spans="1:13" x14ac:dyDescent="0.3">
      <c r="A11" s="1">
        <v>10</v>
      </c>
      <c r="B11" s="1" t="s">
        <v>20</v>
      </c>
      <c r="C11" s="1">
        <v>48</v>
      </c>
      <c r="D11" s="1" t="s">
        <v>10</v>
      </c>
      <c r="E11" s="1">
        <v>5</v>
      </c>
      <c r="F11" s="2">
        <v>45792</v>
      </c>
      <c r="G11" s="2">
        <v>45796</v>
      </c>
      <c r="H11" s="1">
        <v>2</v>
      </c>
      <c r="I11" s="1">
        <v>3639</v>
      </c>
      <c r="J11" t="str">
        <f>VLOOKUP(E11,Diagnosis!$A$2:$B$11,2,FALSE)</f>
        <v>Stroke</v>
      </c>
      <c r="K11" t="str">
        <f>VLOOKUP(H11,Outcomes!$A$2:$B$4,2,)</f>
        <v>Complicated</v>
      </c>
      <c r="L11">
        <f t="shared" si="0"/>
        <v>4</v>
      </c>
      <c r="M11" t="str">
        <f t="shared" si="1"/>
        <v>Normal</v>
      </c>
    </row>
    <row r="12" spans="1:13" x14ac:dyDescent="0.3">
      <c r="A12" s="1">
        <v>11</v>
      </c>
      <c r="B12" s="1" t="s">
        <v>21</v>
      </c>
      <c r="C12" s="1">
        <v>52</v>
      </c>
      <c r="D12" s="1" t="s">
        <v>10</v>
      </c>
      <c r="E12" s="1">
        <v>4</v>
      </c>
      <c r="F12" s="2">
        <v>45715</v>
      </c>
      <c r="G12" s="2">
        <v>45765</v>
      </c>
      <c r="H12" s="1">
        <v>3</v>
      </c>
      <c r="I12" s="1">
        <v>2827</v>
      </c>
      <c r="J12" t="str">
        <f>VLOOKUP(E12,Diagnosis!$A$2:$B$11,2,FALSE)</f>
        <v>Asthma</v>
      </c>
      <c r="K12" t="str">
        <f>VLOOKUP(H12,Outcomes!$A$2:$B$4,2,)</f>
        <v>Deceased</v>
      </c>
      <c r="L12">
        <f t="shared" si="0"/>
        <v>50</v>
      </c>
      <c r="M12" t="str">
        <f t="shared" si="1"/>
        <v>Normal</v>
      </c>
    </row>
    <row r="13" spans="1:13" x14ac:dyDescent="0.3">
      <c r="A13" s="1">
        <v>12</v>
      </c>
      <c r="B13" s="1" t="s">
        <v>22</v>
      </c>
      <c r="C13" s="1">
        <v>40</v>
      </c>
      <c r="D13" s="1" t="s">
        <v>14</v>
      </c>
      <c r="E13" s="1">
        <v>8</v>
      </c>
      <c r="F13" s="2">
        <v>45771</v>
      </c>
      <c r="G13" s="2">
        <v>45795</v>
      </c>
      <c r="H13" s="1">
        <v>2</v>
      </c>
      <c r="I13" s="1">
        <v>4730</v>
      </c>
      <c r="J13" t="str">
        <f>VLOOKUP(E13,Diagnosis!$A$2:$B$11,2,FALSE)</f>
        <v>Arthritis</v>
      </c>
      <c r="K13" t="str">
        <f>VLOOKUP(H13,Outcomes!$A$2:$B$4,2,)</f>
        <v>Complicated</v>
      </c>
      <c r="L13">
        <f t="shared" si="0"/>
        <v>24</v>
      </c>
      <c r="M13" t="str">
        <f t="shared" si="1"/>
        <v>Normal</v>
      </c>
    </row>
    <row r="14" spans="1:13" x14ac:dyDescent="0.3">
      <c r="A14" s="1">
        <v>13</v>
      </c>
      <c r="B14" s="1" t="s">
        <v>23</v>
      </c>
      <c r="C14" s="1">
        <v>40</v>
      </c>
      <c r="D14" s="1" t="s">
        <v>14</v>
      </c>
      <c r="E14" s="1">
        <v>8</v>
      </c>
      <c r="F14" s="2">
        <v>45732</v>
      </c>
      <c r="G14" s="2">
        <v>45815</v>
      </c>
      <c r="H14" s="1">
        <v>3</v>
      </c>
      <c r="I14" s="1">
        <v>5531</v>
      </c>
      <c r="J14" t="str">
        <f>VLOOKUP(E14,Diagnosis!$A$2:$B$11,2,FALSE)</f>
        <v>Arthritis</v>
      </c>
      <c r="K14" t="str">
        <f>VLOOKUP(H14,Outcomes!$A$2:$B$4,2,)</f>
        <v>Deceased</v>
      </c>
      <c r="L14">
        <f t="shared" si="0"/>
        <v>83</v>
      </c>
      <c r="M14" t="str">
        <f t="shared" si="1"/>
        <v>Normal</v>
      </c>
    </row>
    <row r="15" spans="1:13" x14ac:dyDescent="0.3">
      <c r="A15" s="1">
        <v>14</v>
      </c>
      <c r="B15" s="1" t="s">
        <v>24</v>
      </c>
      <c r="C15" s="1">
        <v>53</v>
      </c>
      <c r="D15" s="1" t="s">
        <v>14</v>
      </c>
      <c r="E15" s="1">
        <v>7</v>
      </c>
      <c r="F15" s="2">
        <v>45814</v>
      </c>
      <c r="G15" s="2">
        <v>45818</v>
      </c>
      <c r="H15" s="1">
        <v>2</v>
      </c>
      <c r="I15" s="1">
        <v>9147</v>
      </c>
      <c r="J15" t="str">
        <f>VLOOKUP(E15,Diagnosis!$A$2:$B$11,2,FALSE)</f>
        <v>Cancer</v>
      </c>
      <c r="K15" t="str">
        <f>VLOOKUP(H15,Outcomes!$A$2:$B$4,2,)</f>
        <v>Complicated</v>
      </c>
      <c r="L15">
        <f t="shared" si="0"/>
        <v>4</v>
      </c>
      <c r="M15" t="str">
        <f t="shared" si="1"/>
        <v>Normal</v>
      </c>
    </row>
    <row r="16" spans="1:13" x14ac:dyDescent="0.3">
      <c r="A16" s="1">
        <v>15</v>
      </c>
      <c r="B16" s="1" t="s">
        <v>25</v>
      </c>
      <c r="C16" s="1">
        <v>82</v>
      </c>
      <c r="D16" s="1" t="s">
        <v>14</v>
      </c>
      <c r="E16" s="1">
        <v>3</v>
      </c>
      <c r="F16" s="2">
        <v>45777</v>
      </c>
      <c r="G16" s="2">
        <v>45780</v>
      </c>
      <c r="H16" s="1">
        <v>2</v>
      </c>
      <c r="I16" s="1">
        <v>6451</v>
      </c>
      <c r="J16" t="str">
        <f>VLOOKUP(E16,Diagnosis!$A$2:$B$11,2,FALSE)</f>
        <v>Heart Disease</v>
      </c>
      <c r="K16" t="str">
        <f>VLOOKUP(H16,Outcomes!$A$2:$B$4,2,)</f>
        <v>Complicated</v>
      </c>
      <c r="L16">
        <f t="shared" si="0"/>
        <v>3</v>
      </c>
      <c r="M16" t="str">
        <f t="shared" si="1"/>
        <v>Normal</v>
      </c>
    </row>
    <row r="17" spans="1:13" x14ac:dyDescent="0.3">
      <c r="A17" s="1">
        <v>16</v>
      </c>
      <c r="B17" s="1" t="s">
        <v>26</v>
      </c>
      <c r="C17" s="1">
        <v>65</v>
      </c>
      <c r="D17" s="1" t="s">
        <v>14</v>
      </c>
      <c r="E17" s="1">
        <v>1</v>
      </c>
      <c r="F17" s="2">
        <v>45821</v>
      </c>
      <c r="G17" s="2">
        <v>45823</v>
      </c>
      <c r="H17" s="1">
        <v>2</v>
      </c>
      <c r="I17" s="1">
        <v>9151</v>
      </c>
      <c r="J17" t="str">
        <f>VLOOKUP(E17,Diagnosis!$A$2:$B$11,2,FALSE)</f>
        <v>Hypertension</v>
      </c>
      <c r="K17" t="str">
        <f>VLOOKUP(H17,Outcomes!$A$2:$B$4,2,)</f>
        <v>Complicated</v>
      </c>
      <c r="L17">
        <f t="shared" si="0"/>
        <v>2</v>
      </c>
      <c r="M17" t="str">
        <f t="shared" si="1"/>
        <v>Normal</v>
      </c>
    </row>
    <row r="18" spans="1:13" x14ac:dyDescent="0.3">
      <c r="A18" s="1">
        <v>17</v>
      </c>
      <c r="B18" s="1" t="s">
        <v>27</v>
      </c>
      <c r="C18" s="1">
        <v>69</v>
      </c>
      <c r="D18" s="1" t="s">
        <v>14</v>
      </c>
      <c r="E18" s="1">
        <v>1</v>
      </c>
      <c r="F18" s="2">
        <v>45678</v>
      </c>
      <c r="G18" s="2">
        <v>45799</v>
      </c>
      <c r="H18" s="1">
        <v>3</v>
      </c>
      <c r="I18" s="1">
        <v>7443</v>
      </c>
      <c r="J18" t="str">
        <f>VLOOKUP(E18,Diagnosis!$A$2:$B$11,2,FALSE)</f>
        <v>Hypertension</v>
      </c>
      <c r="K18" t="str">
        <f>VLOOKUP(H18,Outcomes!$A$2:$B$4,2,)</f>
        <v>Deceased</v>
      </c>
      <c r="L18">
        <f t="shared" si="0"/>
        <v>121</v>
      </c>
      <c r="M18" t="str">
        <f t="shared" si="1"/>
        <v>Normal</v>
      </c>
    </row>
    <row r="19" spans="1:13" x14ac:dyDescent="0.3">
      <c r="A19" s="1">
        <v>18</v>
      </c>
      <c r="B19" s="1" t="s">
        <v>28</v>
      </c>
      <c r="C19" s="1">
        <v>53</v>
      </c>
      <c r="D19" s="1" t="s">
        <v>14</v>
      </c>
      <c r="E19" s="1">
        <v>3</v>
      </c>
      <c r="F19" s="2">
        <v>45821</v>
      </c>
      <c r="G19" s="2">
        <v>45830</v>
      </c>
      <c r="H19" s="1">
        <v>3</v>
      </c>
      <c r="I19" s="1">
        <v>9300</v>
      </c>
      <c r="J19" t="str">
        <f>VLOOKUP(E19,Diagnosis!$A$2:$B$11,2,FALSE)</f>
        <v>Heart Disease</v>
      </c>
      <c r="K19" t="str">
        <f>VLOOKUP(H19,Outcomes!$A$2:$B$4,2,)</f>
        <v>Deceased</v>
      </c>
      <c r="L19">
        <f t="shared" si="0"/>
        <v>9</v>
      </c>
      <c r="M19" t="str">
        <f t="shared" si="1"/>
        <v>Normal</v>
      </c>
    </row>
    <row r="20" spans="1:13" x14ac:dyDescent="0.3">
      <c r="A20" s="1">
        <v>19</v>
      </c>
      <c r="B20" s="1" t="s">
        <v>29</v>
      </c>
      <c r="C20" s="1">
        <v>32</v>
      </c>
      <c r="D20" s="1" t="s">
        <v>14</v>
      </c>
      <c r="E20" s="1">
        <v>6</v>
      </c>
      <c r="F20" s="2">
        <v>45795</v>
      </c>
      <c r="G20" s="2">
        <v>45797</v>
      </c>
      <c r="H20" s="1">
        <v>1</v>
      </c>
      <c r="I20" s="1">
        <v>4935</v>
      </c>
      <c r="J20" t="str">
        <f>VLOOKUP(E20,Diagnosis!$A$2:$B$11,2,FALSE)</f>
        <v>COPD</v>
      </c>
      <c r="K20" t="str">
        <f>VLOOKUP(H20,Outcomes!$A$2:$B$4,2,)</f>
        <v>Recovered</v>
      </c>
      <c r="L20">
        <f t="shared" si="0"/>
        <v>2</v>
      </c>
      <c r="M20" t="str">
        <f t="shared" si="1"/>
        <v>Normal</v>
      </c>
    </row>
    <row r="21" spans="1:13" x14ac:dyDescent="0.3">
      <c r="A21" s="1">
        <v>20</v>
      </c>
      <c r="B21" s="1" t="s">
        <v>30</v>
      </c>
      <c r="C21" s="1">
        <v>51</v>
      </c>
      <c r="D21" s="1" t="s">
        <v>10</v>
      </c>
      <c r="E21" s="1">
        <v>7</v>
      </c>
      <c r="F21" s="2">
        <v>45758</v>
      </c>
      <c r="G21" s="2">
        <v>45847</v>
      </c>
      <c r="H21" s="1">
        <v>3</v>
      </c>
      <c r="I21" s="1">
        <v>5876</v>
      </c>
      <c r="J21" t="str">
        <f>VLOOKUP(E21,Diagnosis!$A$2:$B$11,2,FALSE)</f>
        <v>Cancer</v>
      </c>
      <c r="K21" t="str">
        <f>VLOOKUP(H21,Outcomes!$A$2:$B$4,2,)</f>
        <v>Deceased</v>
      </c>
      <c r="L21">
        <f t="shared" si="0"/>
        <v>89</v>
      </c>
      <c r="M21" t="str">
        <f t="shared" si="1"/>
        <v>Normal</v>
      </c>
    </row>
    <row r="22" spans="1:13" x14ac:dyDescent="0.3">
      <c r="A22" s="1">
        <v>21</v>
      </c>
      <c r="B22" s="1" t="s">
        <v>31</v>
      </c>
      <c r="C22" s="1">
        <v>82</v>
      </c>
      <c r="D22" s="1" t="s">
        <v>14</v>
      </c>
      <c r="E22" s="1">
        <v>6</v>
      </c>
      <c r="F22" s="2">
        <v>45809</v>
      </c>
      <c r="G22" s="2">
        <v>45819</v>
      </c>
      <c r="H22" s="1">
        <v>3</v>
      </c>
      <c r="I22" s="1">
        <v>7959</v>
      </c>
      <c r="J22" t="str">
        <f>VLOOKUP(E22,Diagnosis!$A$2:$B$11,2,FALSE)</f>
        <v>COPD</v>
      </c>
      <c r="K22" t="str">
        <f>VLOOKUP(H22,Outcomes!$A$2:$B$4,2,)</f>
        <v>Deceased</v>
      </c>
      <c r="L22">
        <f t="shared" si="0"/>
        <v>10</v>
      </c>
      <c r="M22" t="str">
        <f t="shared" si="1"/>
        <v>Normal</v>
      </c>
    </row>
    <row r="23" spans="1:13" x14ac:dyDescent="0.3">
      <c r="A23" s="1">
        <v>22</v>
      </c>
      <c r="B23" s="1" t="s">
        <v>32</v>
      </c>
      <c r="C23" s="1">
        <v>31</v>
      </c>
      <c r="D23" s="1" t="s">
        <v>14</v>
      </c>
      <c r="E23" s="1">
        <v>6</v>
      </c>
      <c r="F23" s="2">
        <v>45834</v>
      </c>
      <c r="G23" s="2">
        <v>45841</v>
      </c>
      <c r="H23" s="1">
        <v>3</v>
      </c>
      <c r="I23" s="1">
        <v>2126</v>
      </c>
      <c r="J23" t="str">
        <f>VLOOKUP(E23,Diagnosis!$A$2:$B$11,2,FALSE)</f>
        <v>COPD</v>
      </c>
      <c r="K23" t="str">
        <f>VLOOKUP(H23,Outcomes!$A$2:$B$4,2,)</f>
        <v>Deceased</v>
      </c>
      <c r="L23">
        <f t="shared" si="0"/>
        <v>7</v>
      </c>
      <c r="M23" t="str">
        <f t="shared" si="1"/>
        <v>Normal</v>
      </c>
    </row>
    <row r="24" spans="1:13" x14ac:dyDescent="0.3">
      <c r="A24" s="1">
        <v>23</v>
      </c>
      <c r="B24" s="1" t="s">
        <v>33</v>
      </c>
      <c r="C24" s="1">
        <v>53</v>
      </c>
      <c r="D24" s="1" t="s">
        <v>10</v>
      </c>
      <c r="E24" s="1">
        <v>6</v>
      </c>
      <c r="F24" s="2">
        <v>45756</v>
      </c>
      <c r="G24" s="2">
        <v>45831</v>
      </c>
      <c r="H24" s="1">
        <v>3</v>
      </c>
      <c r="I24" s="1">
        <v>5177</v>
      </c>
      <c r="J24" t="str">
        <f>VLOOKUP(E24,Diagnosis!$A$2:$B$11,2,FALSE)</f>
        <v>COPD</v>
      </c>
      <c r="K24" t="str">
        <f>VLOOKUP(H24,Outcomes!$A$2:$B$4,2,)</f>
        <v>Deceased</v>
      </c>
      <c r="L24">
        <f t="shared" si="0"/>
        <v>75</v>
      </c>
      <c r="M24" t="str">
        <f t="shared" si="1"/>
        <v>Normal</v>
      </c>
    </row>
    <row r="25" spans="1:13" x14ac:dyDescent="0.3">
      <c r="A25" s="1">
        <v>24</v>
      </c>
      <c r="B25" s="1" t="s">
        <v>34</v>
      </c>
      <c r="C25" s="1">
        <v>73</v>
      </c>
      <c r="D25" s="1" t="s">
        <v>14</v>
      </c>
      <c r="E25" s="1">
        <v>3</v>
      </c>
      <c r="F25" s="2">
        <v>45693</v>
      </c>
      <c r="G25" s="2">
        <v>45749</v>
      </c>
      <c r="H25" s="1">
        <v>1</v>
      </c>
      <c r="I25" s="1">
        <v>5056</v>
      </c>
      <c r="J25" t="str">
        <f>VLOOKUP(E25,Diagnosis!$A$2:$B$11,2,FALSE)</f>
        <v>Heart Disease</v>
      </c>
      <c r="K25" t="str">
        <f>VLOOKUP(H25,Outcomes!$A$2:$B$4,2,)</f>
        <v>Recovered</v>
      </c>
      <c r="L25">
        <f t="shared" si="0"/>
        <v>56</v>
      </c>
      <c r="M25" t="str">
        <f t="shared" si="1"/>
        <v>Normal</v>
      </c>
    </row>
    <row r="26" spans="1:13" x14ac:dyDescent="0.3">
      <c r="A26" s="1">
        <v>25</v>
      </c>
      <c r="B26" s="1" t="s">
        <v>35</v>
      </c>
      <c r="C26" s="1">
        <v>59</v>
      </c>
      <c r="D26" s="1" t="s">
        <v>10</v>
      </c>
      <c r="E26" s="1">
        <v>6</v>
      </c>
      <c r="F26" s="2">
        <v>45753</v>
      </c>
      <c r="G26" s="2">
        <v>45811</v>
      </c>
      <c r="H26" s="1">
        <v>3</v>
      </c>
      <c r="I26" s="1">
        <v>2603</v>
      </c>
      <c r="J26" t="str">
        <f>VLOOKUP(E26,Diagnosis!$A$2:$B$11,2,FALSE)</f>
        <v>COPD</v>
      </c>
      <c r="K26" t="str">
        <f>VLOOKUP(H26,Outcomes!$A$2:$B$4,2,)</f>
        <v>Deceased</v>
      </c>
      <c r="L26">
        <f t="shared" si="0"/>
        <v>58</v>
      </c>
      <c r="M26" t="str">
        <f t="shared" si="1"/>
        <v>Normal</v>
      </c>
    </row>
    <row r="27" spans="1:13" x14ac:dyDescent="0.3">
      <c r="A27" s="1">
        <v>26</v>
      </c>
      <c r="B27" s="1" t="s">
        <v>36</v>
      </c>
      <c r="C27" s="1">
        <v>67</v>
      </c>
      <c r="D27" s="1" t="s">
        <v>10</v>
      </c>
      <c r="E27" s="1">
        <v>8</v>
      </c>
      <c r="F27" s="2">
        <v>45809</v>
      </c>
      <c r="G27" s="2">
        <v>45810</v>
      </c>
      <c r="H27" s="1">
        <v>2</v>
      </c>
      <c r="I27" s="1">
        <v>9966</v>
      </c>
      <c r="J27" t="str">
        <f>VLOOKUP(E27,Diagnosis!$A$2:$B$11,2,FALSE)</f>
        <v>Arthritis</v>
      </c>
      <c r="K27" t="str">
        <f>VLOOKUP(H27,Outcomes!$A$2:$B$4,2,)</f>
        <v>Complicated</v>
      </c>
      <c r="L27">
        <f t="shared" si="0"/>
        <v>1</v>
      </c>
      <c r="M27" t="str">
        <f t="shared" si="1"/>
        <v>Normal</v>
      </c>
    </row>
    <row r="28" spans="1:13" x14ac:dyDescent="0.3">
      <c r="A28" s="1">
        <v>27</v>
      </c>
      <c r="B28" s="1" t="s">
        <v>37</v>
      </c>
      <c r="C28" s="1">
        <v>31</v>
      </c>
      <c r="D28" s="1" t="s">
        <v>14</v>
      </c>
      <c r="E28" s="1">
        <v>2</v>
      </c>
      <c r="F28" s="2">
        <v>45808</v>
      </c>
      <c r="G28" s="2">
        <v>45809</v>
      </c>
      <c r="H28" s="1">
        <v>2</v>
      </c>
      <c r="I28" s="1">
        <v>5449</v>
      </c>
      <c r="J28" t="str">
        <f>VLOOKUP(E28,Diagnosis!$A$2:$B$11,2,FALSE)</f>
        <v>Diabetes</v>
      </c>
      <c r="K28" t="str">
        <f>VLOOKUP(H28,Outcomes!$A$2:$B$4,2,)</f>
        <v>Complicated</v>
      </c>
      <c r="L28">
        <f t="shared" si="0"/>
        <v>1</v>
      </c>
      <c r="M28" t="str">
        <f t="shared" si="1"/>
        <v>Normal</v>
      </c>
    </row>
    <row r="29" spans="1:13" x14ac:dyDescent="0.3">
      <c r="A29" s="1">
        <v>28</v>
      </c>
      <c r="B29" s="1" t="s">
        <v>38</v>
      </c>
      <c r="C29" s="1">
        <v>89</v>
      </c>
      <c r="D29" s="1" t="s">
        <v>10</v>
      </c>
      <c r="E29" s="1">
        <v>5</v>
      </c>
      <c r="F29" s="2">
        <v>45694</v>
      </c>
      <c r="G29" s="2">
        <v>45776</v>
      </c>
      <c r="H29" s="1">
        <v>3</v>
      </c>
      <c r="I29" s="1">
        <v>8024</v>
      </c>
      <c r="J29" t="str">
        <f>VLOOKUP(E29,Diagnosis!$A$2:$B$11,2,FALSE)</f>
        <v>Stroke</v>
      </c>
      <c r="K29" t="str">
        <f>VLOOKUP(H29,Outcomes!$A$2:$B$4,2,)</f>
        <v>Deceased</v>
      </c>
      <c r="L29">
        <f t="shared" si="0"/>
        <v>82</v>
      </c>
      <c r="M29" t="str">
        <f t="shared" si="1"/>
        <v>Normal</v>
      </c>
    </row>
    <row r="30" spans="1:13" x14ac:dyDescent="0.3">
      <c r="A30" s="1">
        <v>29</v>
      </c>
      <c r="B30" s="1" t="s">
        <v>39</v>
      </c>
      <c r="C30" s="1">
        <v>50</v>
      </c>
      <c r="D30" s="1" t="s">
        <v>10</v>
      </c>
      <c r="E30" s="1">
        <v>1</v>
      </c>
      <c r="F30" s="2">
        <v>45669</v>
      </c>
      <c r="G30" s="2">
        <v>45671</v>
      </c>
      <c r="H30" s="1">
        <v>3</v>
      </c>
      <c r="I30" s="1">
        <v>7109</v>
      </c>
      <c r="J30" t="str">
        <f>VLOOKUP(E30,Diagnosis!$A$2:$B$11,2,FALSE)</f>
        <v>Hypertension</v>
      </c>
      <c r="K30" t="str">
        <f>VLOOKUP(H30,Outcomes!$A$2:$B$4,2,)</f>
        <v>Deceased</v>
      </c>
      <c r="L30">
        <f t="shared" si="0"/>
        <v>2</v>
      </c>
      <c r="M30" t="str">
        <f t="shared" si="1"/>
        <v>Normal</v>
      </c>
    </row>
    <row r="31" spans="1:13" x14ac:dyDescent="0.3">
      <c r="A31" s="1">
        <v>30</v>
      </c>
      <c r="B31" s="1" t="s">
        <v>40</v>
      </c>
      <c r="C31" s="1">
        <v>62</v>
      </c>
      <c r="D31" s="1" t="s">
        <v>10</v>
      </c>
      <c r="E31" s="1">
        <v>1</v>
      </c>
      <c r="F31" s="2">
        <v>45770</v>
      </c>
      <c r="G31" s="2">
        <v>45774</v>
      </c>
      <c r="H31" s="1">
        <v>2</v>
      </c>
      <c r="I31" s="1">
        <v>6146</v>
      </c>
      <c r="J31" t="str">
        <f>VLOOKUP(E31,Diagnosis!$A$2:$B$11,2,FALSE)</f>
        <v>Hypertension</v>
      </c>
      <c r="K31" t="str">
        <f>VLOOKUP(H31,Outcomes!$A$2:$B$4,2,)</f>
        <v>Complicated</v>
      </c>
      <c r="L31">
        <f t="shared" si="0"/>
        <v>4</v>
      </c>
      <c r="M31" t="str">
        <f t="shared" si="1"/>
        <v>Normal</v>
      </c>
    </row>
    <row r="32" spans="1:13" x14ac:dyDescent="0.3">
      <c r="A32" s="1">
        <v>31</v>
      </c>
      <c r="B32" s="1" t="s">
        <v>41</v>
      </c>
      <c r="C32" s="1">
        <v>41</v>
      </c>
      <c r="D32" s="1" t="s">
        <v>10</v>
      </c>
      <c r="E32" s="1">
        <v>5</v>
      </c>
      <c r="F32" s="2">
        <v>45670</v>
      </c>
      <c r="G32" s="2">
        <v>45839</v>
      </c>
      <c r="H32" s="1">
        <v>2</v>
      </c>
      <c r="I32" s="1">
        <v>9196</v>
      </c>
      <c r="J32" t="str">
        <f>VLOOKUP(E32,Diagnosis!$A$2:$B$11,2,FALSE)</f>
        <v>Stroke</v>
      </c>
      <c r="K32" t="str">
        <f>VLOOKUP(H32,Outcomes!$A$2:$B$4,2,)</f>
        <v>Complicated</v>
      </c>
      <c r="L32">
        <f t="shared" si="0"/>
        <v>169</v>
      </c>
      <c r="M32" t="str">
        <f t="shared" si="1"/>
        <v>Normal</v>
      </c>
    </row>
    <row r="33" spans="1:13" x14ac:dyDescent="0.3">
      <c r="A33" s="1">
        <v>32</v>
      </c>
      <c r="B33" s="1" t="s">
        <v>42</v>
      </c>
      <c r="C33" s="1">
        <v>87</v>
      </c>
      <c r="D33" s="1" t="s">
        <v>14</v>
      </c>
      <c r="E33" s="1">
        <v>3</v>
      </c>
      <c r="F33" s="2">
        <v>45680</v>
      </c>
      <c r="G33" s="2">
        <v>45684</v>
      </c>
      <c r="H33" s="1">
        <v>1</v>
      </c>
      <c r="I33" s="1">
        <v>5533</v>
      </c>
      <c r="J33" t="str">
        <f>VLOOKUP(E33,Diagnosis!$A$2:$B$11,2,FALSE)</f>
        <v>Heart Disease</v>
      </c>
      <c r="K33" t="str">
        <f>VLOOKUP(H33,Outcomes!$A$2:$B$4,2,)</f>
        <v>Recovered</v>
      </c>
      <c r="L33">
        <f t="shared" si="0"/>
        <v>4</v>
      </c>
      <c r="M33" t="str">
        <f t="shared" si="1"/>
        <v>Normal</v>
      </c>
    </row>
    <row r="34" spans="1:13" x14ac:dyDescent="0.3">
      <c r="A34" s="1">
        <v>33</v>
      </c>
      <c r="B34" s="1" t="s">
        <v>43</v>
      </c>
      <c r="C34" s="1">
        <v>51</v>
      </c>
      <c r="D34" s="1" t="s">
        <v>10</v>
      </c>
      <c r="E34" s="1">
        <v>4</v>
      </c>
      <c r="F34" s="2">
        <v>45756</v>
      </c>
      <c r="G34" s="2">
        <v>45779</v>
      </c>
      <c r="H34" s="1">
        <v>2</v>
      </c>
      <c r="I34" s="1">
        <v>5367</v>
      </c>
      <c r="J34" t="str">
        <f>VLOOKUP(E34,Diagnosis!$A$2:$B$11,2,FALSE)</f>
        <v>Asthma</v>
      </c>
      <c r="K34" t="str">
        <f>VLOOKUP(H34,Outcomes!$A$2:$B$4,2,)</f>
        <v>Complicated</v>
      </c>
      <c r="L34">
        <f t="shared" si="0"/>
        <v>23</v>
      </c>
      <c r="M34" t="str">
        <f t="shared" si="1"/>
        <v>Normal</v>
      </c>
    </row>
    <row r="35" spans="1:13" x14ac:dyDescent="0.3">
      <c r="A35" s="1">
        <v>34</v>
      </c>
      <c r="B35" s="1" t="s">
        <v>44</v>
      </c>
      <c r="C35" s="1">
        <v>73</v>
      </c>
      <c r="D35" s="1" t="s">
        <v>14</v>
      </c>
      <c r="E35" s="1">
        <v>3</v>
      </c>
      <c r="F35" s="2">
        <v>45762</v>
      </c>
      <c r="G35" s="2">
        <v>45771</v>
      </c>
      <c r="H35" s="1">
        <v>2</v>
      </c>
      <c r="I35" s="1">
        <v>5368</v>
      </c>
      <c r="J35" t="str">
        <f>VLOOKUP(E35,Diagnosis!$A$2:$B$11,2,FALSE)</f>
        <v>Heart Disease</v>
      </c>
      <c r="K35" t="str">
        <f>VLOOKUP(H35,Outcomes!$A$2:$B$4,2,)</f>
        <v>Complicated</v>
      </c>
      <c r="L35">
        <f t="shared" si="0"/>
        <v>9</v>
      </c>
      <c r="M35" t="str">
        <f t="shared" si="1"/>
        <v>Normal</v>
      </c>
    </row>
    <row r="36" spans="1:13" x14ac:dyDescent="0.3">
      <c r="A36" s="1">
        <v>35</v>
      </c>
      <c r="B36" s="1" t="s">
        <v>45</v>
      </c>
      <c r="C36" s="1">
        <v>54</v>
      </c>
      <c r="D36" s="1" t="s">
        <v>10</v>
      </c>
      <c r="E36" s="1">
        <v>1</v>
      </c>
      <c r="F36" s="2">
        <v>45687</v>
      </c>
      <c r="G36" s="2">
        <v>45700</v>
      </c>
      <c r="H36" s="1">
        <v>3</v>
      </c>
      <c r="I36" s="1">
        <v>5797</v>
      </c>
      <c r="J36" t="str">
        <f>VLOOKUP(E36,Diagnosis!$A$2:$B$11,2,FALSE)</f>
        <v>Hypertension</v>
      </c>
      <c r="K36" t="str">
        <f>VLOOKUP(H36,Outcomes!$A$2:$B$4,2,)</f>
        <v>Deceased</v>
      </c>
      <c r="L36">
        <f t="shared" si="0"/>
        <v>13</v>
      </c>
      <c r="M36" t="str">
        <f t="shared" si="1"/>
        <v>Normal</v>
      </c>
    </row>
    <row r="37" spans="1:13" x14ac:dyDescent="0.3">
      <c r="A37" s="1">
        <v>36</v>
      </c>
      <c r="B37" s="1" t="s">
        <v>46</v>
      </c>
      <c r="C37" s="1">
        <v>78</v>
      </c>
      <c r="D37" s="1" t="s">
        <v>10</v>
      </c>
      <c r="E37" s="1">
        <v>1</v>
      </c>
      <c r="F37" s="2">
        <v>45674</v>
      </c>
      <c r="G37" s="2">
        <v>45758</v>
      </c>
      <c r="H37" s="1">
        <v>2</v>
      </c>
      <c r="I37" s="1">
        <v>8922</v>
      </c>
      <c r="J37" t="str">
        <f>VLOOKUP(E37,Diagnosis!$A$2:$B$11,2,FALSE)</f>
        <v>Hypertension</v>
      </c>
      <c r="K37" t="str">
        <f>VLOOKUP(H37,Outcomes!$A$2:$B$4,2,)</f>
        <v>Complicated</v>
      </c>
      <c r="L37">
        <f t="shared" si="0"/>
        <v>84</v>
      </c>
      <c r="M37" t="str">
        <f t="shared" si="1"/>
        <v>Normal</v>
      </c>
    </row>
    <row r="38" spans="1:13" x14ac:dyDescent="0.3">
      <c r="A38" s="1">
        <v>37</v>
      </c>
      <c r="B38" s="1" t="s">
        <v>47</v>
      </c>
      <c r="C38" s="1">
        <v>56</v>
      </c>
      <c r="D38" s="1" t="s">
        <v>10</v>
      </c>
      <c r="E38" s="1">
        <v>5</v>
      </c>
      <c r="F38" s="2">
        <v>45770</v>
      </c>
      <c r="G38" s="2">
        <v>45780</v>
      </c>
      <c r="H38" s="1">
        <v>1</v>
      </c>
      <c r="I38" s="1">
        <v>7526</v>
      </c>
      <c r="J38" t="str">
        <f>VLOOKUP(E38,Diagnosis!$A$2:$B$11,2,FALSE)</f>
        <v>Stroke</v>
      </c>
      <c r="K38" t="str">
        <f>VLOOKUP(H38,Outcomes!$A$2:$B$4,2,)</f>
        <v>Recovered</v>
      </c>
      <c r="L38">
        <f t="shared" si="0"/>
        <v>10</v>
      </c>
      <c r="M38" t="str">
        <f t="shared" si="1"/>
        <v>Normal</v>
      </c>
    </row>
    <row r="39" spans="1:13" x14ac:dyDescent="0.3">
      <c r="A39" s="1">
        <v>38</v>
      </c>
      <c r="B39" s="1" t="s">
        <v>48</v>
      </c>
      <c r="C39" s="1">
        <v>88</v>
      </c>
      <c r="D39" s="1" t="s">
        <v>10</v>
      </c>
      <c r="E39" s="1">
        <v>6</v>
      </c>
      <c r="F39" s="2">
        <v>45719</v>
      </c>
      <c r="G39" s="2">
        <v>45738</v>
      </c>
      <c r="H39" s="1">
        <v>2</v>
      </c>
      <c r="I39" s="1">
        <v>3792</v>
      </c>
      <c r="J39" t="str">
        <f>VLOOKUP(E39,Diagnosis!$A$2:$B$11,2,FALSE)</f>
        <v>COPD</v>
      </c>
      <c r="K39" t="str">
        <f>VLOOKUP(H39,Outcomes!$A$2:$B$4,2,)</f>
        <v>Complicated</v>
      </c>
      <c r="L39">
        <f t="shared" si="0"/>
        <v>19</v>
      </c>
      <c r="M39" t="str">
        <f t="shared" si="1"/>
        <v>Normal</v>
      </c>
    </row>
    <row r="40" spans="1:13" x14ac:dyDescent="0.3">
      <c r="A40" s="1">
        <v>39</v>
      </c>
      <c r="B40" s="1" t="s">
        <v>49</v>
      </c>
      <c r="C40" s="1">
        <v>71</v>
      </c>
      <c r="D40" s="1" t="s">
        <v>14</v>
      </c>
      <c r="E40" s="1">
        <v>3</v>
      </c>
      <c r="F40" s="2">
        <v>45741</v>
      </c>
      <c r="G40" s="2">
        <v>45742</v>
      </c>
      <c r="H40" s="1">
        <v>3</v>
      </c>
      <c r="I40" s="1">
        <v>4861</v>
      </c>
      <c r="J40" t="str">
        <f>VLOOKUP(E40,Diagnosis!$A$2:$B$11,2,FALSE)</f>
        <v>Heart Disease</v>
      </c>
      <c r="K40" t="str">
        <f>VLOOKUP(H40,Outcomes!$A$2:$B$4,2,)</f>
        <v>Deceased</v>
      </c>
      <c r="L40">
        <f t="shared" si="0"/>
        <v>1</v>
      </c>
      <c r="M40" t="str">
        <f t="shared" si="1"/>
        <v>Normal</v>
      </c>
    </row>
    <row r="41" spans="1:13" x14ac:dyDescent="0.3">
      <c r="A41" s="1">
        <v>40</v>
      </c>
      <c r="B41" s="1" t="s">
        <v>50</v>
      </c>
      <c r="C41" s="1">
        <v>57</v>
      </c>
      <c r="D41" s="1" t="s">
        <v>14</v>
      </c>
      <c r="E41" s="1">
        <v>9</v>
      </c>
      <c r="F41" s="2">
        <v>45769</v>
      </c>
      <c r="G41" s="2">
        <v>45820</v>
      </c>
      <c r="H41" s="1">
        <v>3</v>
      </c>
      <c r="I41" s="1">
        <v>7732</v>
      </c>
      <c r="J41" t="str">
        <f>VLOOKUP(E41,Diagnosis!$A$2:$B$11,2,FALSE)</f>
        <v>Kidney Disease</v>
      </c>
      <c r="K41" t="str">
        <f>VLOOKUP(H41,Outcomes!$A$2:$B$4,2,)</f>
        <v>Deceased</v>
      </c>
      <c r="L41">
        <f t="shared" si="0"/>
        <v>51</v>
      </c>
      <c r="M41" t="str">
        <f t="shared" si="1"/>
        <v>Normal</v>
      </c>
    </row>
    <row r="42" spans="1:13" x14ac:dyDescent="0.3">
      <c r="A42" s="1">
        <v>41</v>
      </c>
      <c r="B42" s="1" t="s">
        <v>51</v>
      </c>
      <c r="C42" s="1">
        <v>89</v>
      </c>
      <c r="D42" s="1" t="s">
        <v>10</v>
      </c>
      <c r="E42" s="1">
        <v>5</v>
      </c>
      <c r="F42" s="2">
        <v>45743</v>
      </c>
      <c r="G42" s="2">
        <v>45828</v>
      </c>
      <c r="H42" s="1">
        <v>2</v>
      </c>
      <c r="I42" s="1">
        <v>5476</v>
      </c>
      <c r="J42" t="str">
        <f>VLOOKUP(E42,Diagnosis!$A$2:$B$11,2,FALSE)</f>
        <v>Stroke</v>
      </c>
      <c r="K42" t="str">
        <f>VLOOKUP(H42,Outcomes!$A$2:$B$4,2,)</f>
        <v>Complicated</v>
      </c>
      <c r="L42">
        <f t="shared" si="0"/>
        <v>85</v>
      </c>
      <c r="M42" t="str">
        <f t="shared" si="1"/>
        <v>Normal</v>
      </c>
    </row>
    <row r="43" spans="1:13" x14ac:dyDescent="0.3">
      <c r="A43" s="1">
        <v>42</v>
      </c>
      <c r="B43" s="1" t="s">
        <v>52</v>
      </c>
      <c r="C43" s="1">
        <v>45</v>
      </c>
      <c r="D43" s="1" t="s">
        <v>10</v>
      </c>
      <c r="E43" s="1">
        <v>8</v>
      </c>
      <c r="F43" s="2">
        <v>45798</v>
      </c>
      <c r="G43" s="2">
        <v>45848</v>
      </c>
      <c r="H43" s="1">
        <v>3</v>
      </c>
      <c r="I43" s="1">
        <v>5417</v>
      </c>
      <c r="J43" t="str">
        <f>VLOOKUP(E43,Diagnosis!$A$2:$B$11,2,FALSE)</f>
        <v>Arthritis</v>
      </c>
      <c r="K43" t="str">
        <f>VLOOKUP(H43,Outcomes!$A$2:$B$4,2,)</f>
        <v>Deceased</v>
      </c>
      <c r="L43">
        <f t="shared" si="0"/>
        <v>50</v>
      </c>
      <c r="M43" t="str">
        <f t="shared" si="1"/>
        <v>Normal</v>
      </c>
    </row>
    <row r="44" spans="1:13" x14ac:dyDescent="0.3">
      <c r="A44" s="1">
        <v>43</v>
      </c>
      <c r="B44" s="1" t="s">
        <v>53</v>
      </c>
      <c r="C44" s="1">
        <v>44</v>
      </c>
      <c r="D44" s="1" t="s">
        <v>14</v>
      </c>
      <c r="E44" s="1">
        <v>1</v>
      </c>
      <c r="F44" s="2">
        <v>45676</v>
      </c>
      <c r="G44" s="2">
        <v>45784</v>
      </c>
      <c r="H44" s="1">
        <v>1</v>
      </c>
      <c r="I44" s="1">
        <v>3645</v>
      </c>
      <c r="J44" t="str">
        <f>VLOOKUP(E44,Diagnosis!$A$2:$B$11,2,FALSE)</f>
        <v>Hypertension</v>
      </c>
      <c r="K44" t="str">
        <f>VLOOKUP(H44,Outcomes!$A$2:$B$4,2,)</f>
        <v>Recovered</v>
      </c>
      <c r="L44">
        <f t="shared" si="0"/>
        <v>108</v>
      </c>
      <c r="M44" t="str">
        <f t="shared" si="1"/>
        <v>Normal</v>
      </c>
    </row>
    <row r="45" spans="1:13" x14ac:dyDescent="0.3">
      <c r="A45" s="1">
        <v>44</v>
      </c>
      <c r="B45" s="1" t="s">
        <v>54</v>
      </c>
      <c r="C45" s="1">
        <v>76</v>
      </c>
      <c r="D45" s="1" t="s">
        <v>10</v>
      </c>
      <c r="E45" s="1">
        <v>5</v>
      </c>
      <c r="F45" s="2">
        <v>45834</v>
      </c>
      <c r="G45" s="2">
        <v>45843</v>
      </c>
      <c r="H45" s="1">
        <v>1</v>
      </c>
      <c r="I45" s="1">
        <v>8563</v>
      </c>
      <c r="J45" t="str">
        <f>VLOOKUP(E45,Diagnosis!$A$2:$B$11,2,FALSE)</f>
        <v>Stroke</v>
      </c>
      <c r="K45" t="str">
        <f>VLOOKUP(H45,Outcomes!$A$2:$B$4,2,)</f>
        <v>Recovered</v>
      </c>
      <c r="L45">
        <f t="shared" si="0"/>
        <v>9</v>
      </c>
      <c r="M45" t="str">
        <f t="shared" si="1"/>
        <v>Normal</v>
      </c>
    </row>
    <row r="46" spans="1:13" x14ac:dyDescent="0.3">
      <c r="A46" s="1">
        <v>45</v>
      </c>
      <c r="B46" s="1" t="s">
        <v>55</v>
      </c>
      <c r="C46" s="1">
        <v>80</v>
      </c>
      <c r="D46" s="1" t="s">
        <v>10</v>
      </c>
      <c r="E46" s="1">
        <v>3</v>
      </c>
      <c r="F46" s="2">
        <v>45757</v>
      </c>
      <c r="G46" s="2">
        <v>45789</v>
      </c>
      <c r="H46" s="1">
        <v>2</v>
      </c>
      <c r="I46" s="1">
        <v>3205</v>
      </c>
      <c r="J46" t="str">
        <f>VLOOKUP(E46,Diagnosis!$A$2:$B$11,2,FALSE)</f>
        <v>Heart Disease</v>
      </c>
      <c r="K46" t="str">
        <f>VLOOKUP(H46,Outcomes!$A$2:$B$4,2,)</f>
        <v>Complicated</v>
      </c>
      <c r="L46">
        <f t="shared" si="0"/>
        <v>32</v>
      </c>
      <c r="M46" t="str">
        <f t="shared" si="1"/>
        <v>Normal</v>
      </c>
    </row>
    <row r="47" spans="1:13" x14ac:dyDescent="0.3">
      <c r="A47" s="1">
        <v>46</v>
      </c>
      <c r="B47" s="1" t="s">
        <v>56</v>
      </c>
      <c r="C47" s="1">
        <v>73</v>
      </c>
      <c r="D47" s="1" t="s">
        <v>10</v>
      </c>
      <c r="E47" s="1">
        <v>1</v>
      </c>
      <c r="F47" s="2">
        <v>45797</v>
      </c>
      <c r="G47" s="2">
        <v>45801</v>
      </c>
      <c r="H47" s="1">
        <v>2</v>
      </c>
      <c r="I47" s="1">
        <v>5030</v>
      </c>
      <c r="J47" t="str">
        <f>VLOOKUP(E47,Diagnosis!$A$2:$B$11,2,FALSE)</f>
        <v>Hypertension</v>
      </c>
      <c r="K47" t="str">
        <f>VLOOKUP(H47,Outcomes!$A$2:$B$4,2,)</f>
        <v>Complicated</v>
      </c>
      <c r="L47">
        <f t="shared" si="0"/>
        <v>4</v>
      </c>
      <c r="M47" t="str">
        <f t="shared" si="1"/>
        <v>Normal</v>
      </c>
    </row>
    <row r="48" spans="1:13" x14ac:dyDescent="0.3">
      <c r="A48" s="1">
        <v>47</v>
      </c>
      <c r="B48" s="1" t="s">
        <v>57</v>
      </c>
      <c r="C48" s="1">
        <v>84</v>
      </c>
      <c r="D48" s="1" t="s">
        <v>14</v>
      </c>
      <c r="E48" s="1">
        <v>4</v>
      </c>
      <c r="F48" s="2">
        <v>45804</v>
      </c>
      <c r="G48" s="2">
        <v>45813</v>
      </c>
      <c r="H48" s="1">
        <v>2</v>
      </c>
      <c r="I48" s="1">
        <v>4872</v>
      </c>
      <c r="J48" t="str">
        <f>VLOOKUP(E48,Diagnosis!$A$2:$B$11,2,FALSE)</f>
        <v>Asthma</v>
      </c>
      <c r="K48" t="str">
        <f>VLOOKUP(H48,Outcomes!$A$2:$B$4,2,)</f>
        <v>Complicated</v>
      </c>
      <c r="L48">
        <f t="shared" si="0"/>
        <v>9</v>
      </c>
      <c r="M48" t="str">
        <f t="shared" si="1"/>
        <v>Normal</v>
      </c>
    </row>
    <row r="49" spans="1:13" x14ac:dyDescent="0.3">
      <c r="A49" s="1">
        <v>48</v>
      </c>
      <c r="B49" s="1" t="s">
        <v>58</v>
      </c>
      <c r="C49" s="1">
        <v>81</v>
      </c>
      <c r="D49" s="1" t="s">
        <v>14</v>
      </c>
      <c r="E49" s="1">
        <v>5</v>
      </c>
      <c r="F49" s="2">
        <v>45733</v>
      </c>
      <c r="G49" s="2">
        <v>45740</v>
      </c>
      <c r="H49" s="1">
        <v>3</v>
      </c>
      <c r="I49" s="1">
        <v>5072</v>
      </c>
      <c r="J49" t="str">
        <f>VLOOKUP(E49,Diagnosis!$A$2:$B$11,2,FALSE)</f>
        <v>Stroke</v>
      </c>
      <c r="K49" t="str">
        <f>VLOOKUP(H49,Outcomes!$A$2:$B$4,2,)</f>
        <v>Deceased</v>
      </c>
      <c r="L49">
        <f t="shared" si="0"/>
        <v>7</v>
      </c>
      <c r="M49" t="str">
        <f t="shared" si="1"/>
        <v>Normal</v>
      </c>
    </row>
    <row r="50" spans="1:13" x14ac:dyDescent="0.3">
      <c r="A50" s="1">
        <v>49</v>
      </c>
      <c r="B50" s="1" t="s">
        <v>59</v>
      </c>
      <c r="C50" s="1">
        <v>86</v>
      </c>
      <c r="D50" s="1" t="s">
        <v>14</v>
      </c>
      <c r="E50" s="1">
        <v>7</v>
      </c>
      <c r="F50" s="2">
        <v>45666</v>
      </c>
      <c r="G50" s="2">
        <v>45799</v>
      </c>
      <c r="H50" s="1">
        <v>1</v>
      </c>
      <c r="I50" s="1">
        <v>3854</v>
      </c>
      <c r="J50" t="str">
        <f>VLOOKUP(E50,Diagnosis!$A$2:$B$11,2,FALSE)</f>
        <v>Cancer</v>
      </c>
      <c r="K50" t="str">
        <f>VLOOKUP(H50,Outcomes!$A$2:$B$4,2,)</f>
        <v>Recovered</v>
      </c>
      <c r="L50">
        <f t="shared" si="0"/>
        <v>133</v>
      </c>
      <c r="M50" t="str">
        <f t="shared" si="1"/>
        <v>Normal</v>
      </c>
    </row>
    <row r="51" spans="1:13" x14ac:dyDescent="0.3">
      <c r="A51" s="1">
        <v>50</v>
      </c>
      <c r="B51" s="1" t="s">
        <v>60</v>
      </c>
      <c r="C51" s="1">
        <v>32</v>
      </c>
      <c r="D51" s="1" t="s">
        <v>10</v>
      </c>
      <c r="E51" s="1">
        <v>1</v>
      </c>
      <c r="F51" s="2">
        <v>45685</v>
      </c>
      <c r="G51" s="2">
        <v>45723</v>
      </c>
      <c r="H51" s="1">
        <v>1</v>
      </c>
      <c r="I51" s="1">
        <v>6021</v>
      </c>
      <c r="J51" t="str">
        <f>VLOOKUP(E51,Diagnosis!$A$2:$B$11,2,FALSE)</f>
        <v>Hypertension</v>
      </c>
      <c r="K51" t="str">
        <f>VLOOKUP(H51,Outcomes!$A$2:$B$4,2,)</f>
        <v>Recovered</v>
      </c>
      <c r="L51">
        <f t="shared" si="0"/>
        <v>38</v>
      </c>
      <c r="M51" t="str">
        <f t="shared" si="1"/>
        <v>Normal</v>
      </c>
    </row>
    <row r="52" spans="1:13" x14ac:dyDescent="0.3">
      <c r="A52" s="1">
        <v>51</v>
      </c>
      <c r="B52" s="1" t="s">
        <v>61</v>
      </c>
      <c r="C52" s="1">
        <v>66</v>
      </c>
      <c r="D52" s="1" t="s">
        <v>10</v>
      </c>
      <c r="E52" s="1">
        <v>3</v>
      </c>
      <c r="F52" s="2">
        <v>45785</v>
      </c>
      <c r="G52" s="2">
        <v>45811</v>
      </c>
      <c r="H52" s="1">
        <v>3</v>
      </c>
      <c r="I52" s="1">
        <v>6662</v>
      </c>
      <c r="J52" t="str">
        <f>VLOOKUP(E52,Diagnosis!$A$2:$B$11,2,FALSE)</f>
        <v>Heart Disease</v>
      </c>
      <c r="K52" t="str">
        <f>VLOOKUP(H52,Outcomes!$A$2:$B$4,2,)</f>
        <v>Deceased</v>
      </c>
      <c r="L52">
        <f t="shared" si="0"/>
        <v>26</v>
      </c>
      <c r="M52" t="str">
        <f t="shared" si="1"/>
        <v>Normal</v>
      </c>
    </row>
    <row r="53" spans="1:13" x14ac:dyDescent="0.3">
      <c r="A53" s="1">
        <v>52</v>
      </c>
      <c r="B53" s="1" t="s">
        <v>62</v>
      </c>
      <c r="C53" s="1">
        <v>80</v>
      </c>
      <c r="D53" s="1" t="s">
        <v>14</v>
      </c>
      <c r="E53" s="1">
        <v>2</v>
      </c>
      <c r="F53" s="2">
        <v>45709</v>
      </c>
      <c r="G53" s="2">
        <v>45778</v>
      </c>
      <c r="H53" s="1">
        <v>1</v>
      </c>
      <c r="I53" s="1">
        <v>8514</v>
      </c>
      <c r="J53" t="str">
        <f>VLOOKUP(E53,Diagnosis!$A$2:$B$11,2,FALSE)</f>
        <v>Diabetes</v>
      </c>
      <c r="K53" t="str">
        <f>VLOOKUP(H53,Outcomes!$A$2:$B$4,2,)</f>
        <v>Recovered</v>
      </c>
      <c r="L53">
        <f t="shared" si="0"/>
        <v>69</v>
      </c>
      <c r="M53" t="str">
        <f t="shared" si="1"/>
        <v>Normal</v>
      </c>
    </row>
    <row r="54" spans="1:13" x14ac:dyDescent="0.3">
      <c r="A54" s="1">
        <v>53</v>
      </c>
      <c r="B54" s="1" t="s">
        <v>63</v>
      </c>
      <c r="C54" s="1">
        <v>36</v>
      </c>
      <c r="D54" s="1" t="s">
        <v>14</v>
      </c>
      <c r="E54" s="1">
        <v>9</v>
      </c>
      <c r="F54" s="2">
        <v>45740</v>
      </c>
      <c r="G54" s="2">
        <v>45744</v>
      </c>
      <c r="H54" s="1">
        <v>2</v>
      </c>
      <c r="I54" s="1">
        <v>7031</v>
      </c>
      <c r="J54" t="str">
        <f>VLOOKUP(E54,Diagnosis!$A$2:$B$11,2,FALSE)</f>
        <v>Kidney Disease</v>
      </c>
      <c r="K54" t="str">
        <f>VLOOKUP(H54,Outcomes!$A$2:$B$4,2,)</f>
        <v>Complicated</v>
      </c>
      <c r="L54">
        <f t="shared" si="0"/>
        <v>4</v>
      </c>
      <c r="M54" t="str">
        <f t="shared" si="1"/>
        <v>Normal</v>
      </c>
    </row>
    <row r="55" spans="1:13" x14ac:dyDescent="0.3">
      <c r="A55" s="1">
        <v>54</v>
      </c>
      <c r="B55" s="1" t="s">
        <v>64</v>
      </c>
      <c r="C55" s="1">
        <v>50</v>
      </c>
      <c r="D55" s="1" t="s">
        <v>14</v>
      </c>
      <c r="E55" s="1">
        <v>10</v>
      </c>
      <c r="F55" s="2">
        <v>45768</v>
      </c>
      <c r="G55" s="2">
        <v>45817</v>
      </c>
      <c r="H55" s="1">
        <v>2</v>
      </c>
      <c r="I55" s="1">
        <v>8030</v>
      </c>
      <c r="J55" t="str">
        <f>VLOOKUP(E55,Diagnosis!$A$2:$B$11,2,FALSE)</f>
        <v>Liver Disease</v>
      </c>
      <c r="K55" t="str">
        <f>VLOOKUP(H55,Outcomes!$A$2:$B$4,2,)</f>
        <v>Complicated</v>
      </c>
      <c r="L55">
        <f t="shared" si="0"/>
        <v>49</v>
      </c>
      <c r="M55" t="str">
        <f t="shared" si="1"/>
        <v>Normal</v>
      </c>
    </row>
    <row r="56" spans="1:13" x14ac:dyDescent="0.3">
      <c r="A56" s="1">
        <v>55</v>
      </c>
      <c r="B56" s="1" t="s">
        <v>65</v>
      </c>
      <c r="C56" s="1">
        <v>38</v>
      </c>
      <c r="D56" s="1" t="s">
        <v>14</v>
      </c>
      <c r="E56" s="1">
        <v>6</v>
      </c>
      <c r="F56" s="2">
        <v>45801</v>
      </c>
      <c r="G56" s="2">
        <v>45809</v>
      </c>
      <c r="H56" s="1">
        <v>2</v>
      </c>
      <c r="I56" s="1">
        <v>4708</v>
      </c>
      <c r="J56" t="str">
        <f>VLOOKUP(E56,Diagnosis!$A$2:$B$11,2,FALSE)</f>
        <v>COPD</v>
      </c>
      <c r="K56" t="str">
        <f>VLOOKUP(H56,Outcomes!$A$2:$B$4,2,)</f>
        <v>Complicated</v>
      </c>
      <c r="L56">
        <f t="shared" si="0"/>
        <v>8</v>
      </c>
      <c r="M56" t="str">
        <f t="shared" si="1"/>
        <v>Normal</v>
      </c>
    </row>
    <row r="57" spans="1:13" x14ac:dyDescent="0.3">
      <c r="A57" s="1">
        <v>56</v>
      </c>
      <c r="B57" s="1" t="s">
        <v>66</v>
      </c>
      <c r="C57" s="1">
        <v>68</v>
      </c>
      <c r="D57" s="1" t="s">
        <v>10</v>
      </c>
      <c r="E57" s="1">
        <v>10</v>
      </c>
      <c r="F57" s="2">
        <v>45774</v>
      </c>
      <c r="G57" s="2">
        <v>45808</v>
      </c>
      <c r="H57" s="1">
        <v>1</v>
      </c>
      <c r="I57" s="1">
        <v>5502</v>
      </c>
      <c r="J57" t="str">
        <f>VLOOKUP(E57,Diagnosis!$A$2:$B$11,2,FALSE)</f>
        <v>Liver Disease</v>
      </c>
      <c r="K57" t="str">
        <f>VLOOKUP(H57,Outcomes!$A$2:$B$4,2,)</f>
        <v>Recovered</v>
      </c>
      <c r="L57">
        <f t="shared" si="0"/>
        <v>34</v>
      </c>
      <c r="M57" t="str">
        <f t="shared" si="1"/>
        <v>Normal</v>
      </c>
    </row>
    <row r="58" spans="1:13" x14ac:dyDescent="0.3">
      <c r="A58" s="1">
        <v>57</v>
      </c>
      <c r="B58" s="1" t="s">
        <v>67</v>
      </c>
      <c r="C58" s="1">
        <v>47</v>
      </c>
      <c r="D58" s="1" t="s">
        <v>14</v>
      </c>
      <c r="E58" s="1">
        <v>3</v>
      </c>
      <c r="F58" s="2">
        <v>45726</v>
      </c>
      <c r="G58" s="2">
        <v>45732</v>
      </c>
      <c r="H58" s="1">
        <v>2</v>
      </c>
      <c r="I58" s="1">
        <v>9112</v>
      </c>
      <c r="J58" t="str">
        <f>VLOOKUP(E58,Diagnosis!$A$2:$B$11,2,FALSE)</f>
        <v>Heart Disease</v>
      </c>
      <c r="K58" t="str">
        <f>VLOOKUP(H58,Outcomes!$A$2:$B$4,2,)</f>
        <v>Complicated</v>
      </c>
      <c r="L58">
        <f t="shared" si="0"/>
        <v>6</v>
      </c>
      <c r="M58" t="str">
        <f t="shared" si="1"/>
        <v>Normal</v>
      </c>
    </row>
    <row r="59" spans="1:13" x14ac:dyDescent="0.3">
      <c r="A59" s="1">
        <v>58</v>
      </c>
      <c r="B59" s="1" t="s">
        <v>68</v>
      </c>
      <c r="C59" s="1">
        <v>33</v>
      </c>
      <c r="D59" s="1" t="s">
        <v>10</v>
      </c>
      <c r="E59" s="1">
        <v>8</v>
      </c>
      <c r="F59" s="2">
        <v>45756</v>
      </c>
      <c r="G59" s="2">
        <v>45766</v>
      </c>
      <c r="H59" s="1">
        <v>3</v>
      </c>
      <c r="I59" s="1">
        <v>3332</v>
      </c>
      <c r="J59" t="str">
        <f>VLOOKUP(E59,Diagnosis!$A$2:$B$11,2,FALSE)</f>
        <v>Arthritis</v>
      </c>
      <c r="K59" t="str">
        <f>VLOOKUP(H59,Outcomes!$A$2:$B$4,2,)</f>
        <v>Deceased</v>
      </c>
      <c r="L59">
        <f t="shared" si="0"/>
        <v>10</v>
      </c>
      <c r="M59" t="str">
        <f t="shared" si="1"/>
        <v>Normal</v>
      </c>
    </row>
    <row r="60" spans="1:13" x14ac:dyDescent="0.3">
      <c r="A60" s="1">
        <v>59</v>
      </c>
      <c r="B60" s="1" t="s">
        <v>69</v>
      </c>
      <c r="C60" s="1">
        <v>54</v>
      </c>
      <c r="D60" s="1" t="s">
        <v>14</v>
      </c>
      <c r="E60" s="1">
        <v>8</v>
      </c>
      <c r="F60" s="2">
        <v>45797</v>
      </c>
      <c r="G60" s="2">
        <v>45845</v>
      </c>
      <c r="H60" s="1">
        <v>3</v>
      </c>
      <c r="I60" s="1">
        <v>9304</v>
      </c>
      <c r="J60" t="str">
        <f>VLOOKUP(E60,Diagnosis!$A$2:$B$11,2,FALSE)</f>
        <v>Arthritis</v>
      </c>
      <c r="K60" t="str">
        <f>VLOOKUP(H60,Outcomes!$A$2:$B$4,2,)</f>
        <v>Deceased</v>
      </c>
      <c r="L60">
        <f t="shared" si="0"/>
        <v>48</v>
      </c>
      <c r="M60" t="str">
        <f t="shared" si="1"/>
        <v>Normal</v>
      </c>
    </row>
    <row r="61" spans="1:13" x14ac:dyDescent="0.3">
      <c r="A61" s="1">
        <v>60</v>
      </c>
      <c r="B61" s="1" t="s">
        <v>70</v>
      </c>
      <c r="C61" s="1">
        <v>89</v>
      </c>
      <c r="D61" s="1" t="s">
        <v>10</v>
      </c>
      <c r="E61" s="1">
        <v>2</v>
      </c>
      <c r="F61" s="2">
        <v>45682</v>
      </c>
      <c r="G61" s="2">
        <v>45769</v>
      </c>
      <c r="H61" s="1">
        <v>1</v>
      </c>
      <c r="I61" s="1">
        <v>2201</v>
      </c>
      <c r="J61" t="str">
        <f>VLOOKUP(E61,Diagnosis!$A$2:$B$11,2,FALSE)</f>
        <v>Diabetes</v>
      </c>
      <c r="K61" t="str">
        <f>VLOOKUP(H61,Outcomes!$A$2:$B$4,2,)</f>
        <v>Recovered</v>
      </c>
      <c r="L61">
        <f t="shared" si="0"/>
        <v>87</v>
      </c>
      <c r="M61" t="str">
        <f t="shared" si="1"/>
        <v>Normal</v>
      </c>
    </row>
    <row r="62" spans="1:13" x14ac:dyDescent="0.3">
      <c r="A62" s="1">
        <v>61</v>
      </c>
      <c r="B62" s="1" t="s">
        <v>71</v>
      </c>
      <c r="C62" s="1">
        <v>43</v>
      </c>
      <c r="D62" s="1" t="s">
        <v>14</v>
      </c>
      <c r="E62" s="1">
        <v>6</v>
      </c>
      <c r="F62" s="2">
        <v>45837</v>
      </c>
      <c r="G62" s="2">
        <v>45842</v>
      </c>
      <c r="H62" s="1">
        <v>3</v>
      </c>
      <c r="I62" s="1">
        <v>5507</v>
      </c>
      <c r="J62" t="str">
        <f>VLOOKUP(E62,Diagnosis!$A$2:$B$11,2,FALSE)</f>
        <v>COPD</v>
      </c>
      <c r="K62" t="str">
        <f>VLOOKUP(H62,Outcomes!$A$2:$B$4,2,)</f>
        <v>Deceased</v>
      </c>
      <c r="L62">
        <f t="shared" si="0"/>
        <v>5</v>
      </c>
      <c r="M62" t="str">
        <f t="shared" si="1"/>
        <v>Normal</v>
      </c>
    </row>
    <row r="63" spans="1:13" x14ac:dyDescent="0.3">
      <c r="A63" s="1">
        <v>62</v>
      </c>
      <c r="B63" s="1" t="s">
        <v>72</v>
      </c>
      <c r="C63" s="1">
        <v>79</v>
      </c>
      <c r="D63" s="1" t="s">
        <v>14</v>
      </c>
      <c r="E63" s="1">
        <v>7</v>
      </c>
      <c r="F63" s="2">
        <v>45780</v>
      </c>
      <c r="G63" s="2">
        <v>45781</v>
      </c>
      <c r="H63" s="1">
        <v>3</v>
      </c>
      <c r="I63" s="1">
        <v>8456</v>
      </c>
      <c r="J63" t="str">
        <f>VLOOKUP(E63,Diagnosis!$A$2:$B$11,2,FALSE)</f>
        <v>Cancer</v>
      </c>
      <c r="K63" t="str">
        <f>VLOOKUP(H63,Outcomes!$A$2:$B$4,2,)</f>
        <v>Deceased</v>
      </c>
      <c r="L63">
        <f t="shared" si="0"/>
        <v>1</v>
      </c>
      <c r="M63" t="str">
        <f t="shared" si="1"/>
        <v>Normal</v>
      </c>
    </row>
    <row r="64" spans="1:13" x14ac:dyDescent="0.3">
      <c r="A64" s="1">
        <v>63</v>
      </c>
      <c r="B64" s="1" t="s">
        <v>73</v>
      </c>
      <c r="C64" s="1">
        <v>87</v>
      </c>
      <c r="D64" s="1" t="s">
        <v>14</v>
      </c>
      <c r="E64" s="1">
        <v>2</v>
      </c>
      <c r="F64" s="2">
        <v>45710</v>
      </c>
      <c r="G64" s="2">
        <v>45716</v>
      </c>
      <c r="H64" s="1">
        <v>1</v>
      </c>
      <c r="I64" s="1">
        <v>6212</v>
      </c>
      <c r="J64" t="str">
        <f>VLOOKUP(E64,Diagnosis!$A$2:$B$11,2,FALSE)</f>
        <v>Diabetes</v>
      </c>
      <c r="K64" t="str">
        <f>VLOOKUP(H64,Outcomes!$A$2:$B$4,2,)</f>
        <v>Recovered</v>
      </c>
      <c r="L64">
        <f t="shared" si="0"/>
        <v>6</v>
      </c>
      <c r="M64" t="str">
        <f t="shared" si="1"/>
        <v>Normal</v>
      </c>
    </row>
    <row r="65" spans="1:13" x14ac:dyDescent="0.3">
      <c r="A65" s="1">
        <v>64</v>
      </c>
      <c r="B65" s="1" t="s">
        <v>74</v>
      </c>
      <c r="C65" s="1">
        <v>38</v>
      </c>
      <c r="D65" s="1" t="s">
        <v>14</v>
      </c>
      <c r="E65" s="1">
        <v>10</v>
      </c>
      <c r="F65" s="2">
        <v>45808</v>
      </c>
      <c r="G65" s="2">
        <v>45811</v>
      </c>
      <c r="H65" s="1">
        <v>2</v>
      </c>
      <c r="I65" s="1">
        <v>9833</v>
      </c>
      <c r="J65" t="str">
        <f>VLOOKUP(E65,Diagnosis!$A$2:$B$11,2,FALSE)</f>
        <v>Liver Disease</v>
      </c>
      <c r="K65" t="str">
        <f>VLOOKUP(H65,Outcomes!$A$2:$B$4,2,)</f>
        <v>Complicated</v>
      </c>
      <c r="L65">
        <f t="shared" si="0"/>
        <v>3</v>
      </c>
      <c r="M65" t="str">
        <f t="shared" si="1"/>
        <v>Normal</v>
      </c>
    </row>
    <row r="66" spans="1:13" x14ac:dyDescent="0.3">
      <c r="A66" s="1">
        <v>65</v>
      </c>
      <c r="B66" s="1" t="s">
        <v>75</v>
      </c>
      <c r="C66" s="1">
        <v>55</v>
      </c>
      <c r="D66" s="1" t="s">
        <v>10</v>
      </c>
      <c r="E66" s="1">
        <v>2</v>
      </c>
      <c r="F66" s="2">
        <v>45801</v>
      </c>
      <c r="G66" s="2">
        <v>45808</v>
      </c>
      <c r="H66" s="1">
        <v>2</v>
      </c>
      <c r="I66" s="1">
        <v>7032</v>
      </c>
      <c r="J66" t="str">
        <f>VLOOKUP(E66,Diagnosis!$A$2:$B$11,2,FALSE)</f>
        <v>Diabetes</v>
      </c>
      <c r="K66" t="str">
        <f>VLOOKUP(H66,Outcomes!$A$2:$B$4,2,)</f>
        <v>Complicated</v>
      </c>
      <c r="L66">
        <f t="shared" si="0"/>
        <v>7</v>
      </c>
      <c r="M66" t="str">
        <f t="shared" si="1"/>
        <v>Normal</v>
      </c>
    </row>
    <row r="67" spans="1:13" x14ac:dyDescent="0.3">
      <c r="A67" s="1">
        <v>66</v>
      </c>
      <c r="B67" s="1" t="s">
        <v>76</v>
      </c>
      <c r="C67" s="1">
        <v>82</v>
      </c>
      <c r="D67" s="1" t="s">
        <v>14</v>
      </c>
      <c r="E67" s="1">
        <v>10</v>
      </c>
      <c r="F67" s="2">
        <v>45714</v>
      </c>
      <c r="G67" s="2">
        <v>45720</v>
      </c>
      <c r="H67" s="1">
        <v>2</v>
      </c>
      <c r="I67" s="1">
        <v>9970</v>
      </c>
      <c r="J67" t="str">
        <f>VLOOKUP(E67,Diagnosis!$A$2:$B$11,2,FALSE)</f>
        <v>Liver Disease</v>
      </c>
      <c r="K67" t="str">
        <f>VLOOKUP(H67,Outcomes!$A$2:$B$4,2,)</f>
        <v>Complicated</v>
      </c>
      <c r="L67">
        <f t="shared" ref="L67:L130" si="2">DATEDIF(F67,G67,"d")</f>
        <v>6</v>
      </c>
      <c r="M67" t="str">
        <f t="shared" ref="M67:M130" si="3">IF(VLOOKUP(A67,$A$2:$D$201,3,FALSE)&gt;120,"High","Normal")</f>
        <v>Normal</v>
      </c>
    </row>
    <row r="68" spans="1:13" x14ac:dyDescent="0.3">
      <c r="A68" s="1">
        <v>67</v>
      </c>
      <c r="B68" s="1" t="s">
        <v>77</v>
      </c>
      <c r="C68" s="1">
        <v>31</v>
      </c>
      <c r="D68" s="1" t="s">
        <v>10</v>
      </c>
      <c r="E68" s="1">
        <v>1</v>
      </c>
      <c r="F68" s="2">
        <v>45696</v>
      </c>
      <c r="G68" s="2">
        <v>45745</v>
      </c>
      <c r="H68" s="1">
        <v>1</v>
      </c>
      <c r="I68" s="1">
        <v>2574</v>
      </c>
      <c r="J68" t="str">
        <f>VLOOKUP(E68,Diagnosis!$A$2:$B$11,2,FALSE)</f>
        <v>Hypertension</v>
      </c>
      <c r="K68" t="str">
        <f>VLOOKUP(H68,Outcomes!$A$2:$B$4,2,)</f>
        <v>Recovered</v>
      </c>
      <c r="L68">
        <f t="shared" si="2"/>
        <v>49</v>
      </c>
      <c r="M68" t="str">
        <f t="shared" si="3"/>
        <v>Normal</v>
      </c>
    </row>
    <row r="69" spans="1:13" x14ac:dyDescent="0.3">
      <c r="A69" s="1">
        <v>68</v>
      </c>
      <c r="B69" s="1" t="s">
        <v>78</v>
      </c>
      <c r="C69" s="1">
        <v>49</v>
      </c>
      <c r="D69" s="1" t="s">
        <v>10</v>
      </c>
      <c r="E69" s="1">
        <v>8</v>
      </c>
      <c r="F69" s="2">
        <v>45766</v>
      </c>
      <c r="G69" s="2">
        <v>45771</v>
      </c>
      <c r="H69" s="1">
        <v>3</v>
      </c>
      <c r="I69" s="1">
        <v>8387</v>
      </c>
      <c r="J69" t="str">
        <f>VLOOKUP(E69,Diagnosis!$A$2:$B$11,2,FALSE)</f>
        <v>Arthritis</v>
      </c>
      <c r="K69" t="str">
        <f>VLOOKUP(H69,Outcomes!$A$2:$B$4,2,)</f>
        <v>Deceased</v>
      </c>
      <c r="L69">
        <f t="shared" si="2"/>
        <v>5</v>
      </c>
      <c r="M69" t="str">
        <f t="shared" si="3"/>
        <v>Normal</v>
      </c>
    </row>
    <row r="70" spans="1:13" x14ac:dyDescent="0.3">
      <c r="A70" s="1">
        <v>69</v>
      </c>
      <c r="B70" s="1" t="s">
        <v>79</v>
      </c>
      <c r="C70" s="1">
        <v>57</v>
      </c>
      <c r="D70" s="1" t="s">
        <v>10</v>
      </c>
      <c r="E70" s="1">
        <v>1</v>
      </c>
      <c r="F70" s="2">
        <v>45838</v>
      </c>
      <c r="G70" s="2">
        <v>45845</v>
      </c>
      <c r="H70" s="1">
        <v>2</v>
      </c>
      <c r="I70" s="1">
        <v>2536</v>
      </c>
      <c r="J70" t="str">
        <f>VLOOKUP(E70,Diagnosis!$A$2:$B$11,2,FALSE)</f>
        <v>Hypertension</v>
      </c>
      <c r="K70" t="str">
        <f>VLOOKUP(H70,Outcomes!$A$2:$B$4,2,)</f>
        <v>Complicated</v>
      </c>
      <c r="L70">
        <f t="shared" si="2"/>
        <v>7</v>
      </c>
      <c r="M70" t="str">
        <f t="shared" si="3"/>
        <v>Normal</v>
      </c>
    </row>
    <row r="71" spans="1:13" x14ac:dyDescent="0.3">
      <c r="A71" s="1">
        <v>70</v>
      </c>
      <c r="B71" s="1" t="s">
        <v>80</v>
      </c>
      <c r="C71" s="1">
        <v>76</v>
      </c>
      <c r="D71" s="1" t="s">
        <v>10</v>
      </c>
      <c r="E71" s="1">
        <v>9</v>
      </c>
      <c r="F71" s="2">
        <v>45699</v>
      </c>
      <c r="G71" s="2">
        <v>45718</v>
      </c>
      <c r="H71" s="1">
        <v>2</v>
      </c>
      <c r="I71" s="1">
        <v>3625</v>
      </c>
      <c r="J71" t="str">
        <f>VLOOKUP(E71,Diagnosis!$A$2:$B$11,2,FALSE)</f>
        <v>Kidney Disease</v>
      </c>
      <c r="K71" t="str">
        <f>VLOOKUP(H71,Outcomes!$A$2:$B$4,2,)</f>
        <v>Complicated</v>
      </c>
      <c r="L71">
        <f t="shared" si="2"/>
        <v>19</v>
      </c>
      <c r="M71" t="str">
        <f t="shared" si="3"/>
        <v>Normal</v>
      </c>
    </row>
    <row r="72" spans="1:13" x14ac:dyDescent="0.3">
      <c r="A72" s="1">
        <v>71</v>
      </c>
      <c r="B72" s="1" t="s">
        <v>81</v>
      </c>
      <c r="C72" s="1">
        <v>89</v>
      </c>
      <c r="D72" s="1" t="s">
        <v>14</v>
      </c>
      <c r="E72" s="1">
        <v>6</v>
      </c>
      <c r="F72" s="2">
        <v>45824</v>
      </c>
      <c r="G72" s="2">
        <v>45832</v>
      </c>
      <c r="H72" s="1">
        <v>1</v>
      </c>
      <c r="I72" s="1">
        <v>4122</v>
      </c>
      <c r="J72" t="str">
        <f>VLOOKUP(E72,Diagnosis!$A$2:$B$11,2,FALSE)</f>
        <v>COPD</v>
      </c>
      <c r="K72" t="str">
        <f>VLOOKUP(H72,Outcomes!$A$2:$B$4,2,)</f>
        <v>Recovered</v>
      </c>
      <c r="L72">
        <f t="shared" si="2"/>
        <v>8</v>
      </c>
      <c r="M72" t="str">
        <f t="shared" si="3"/>
        <v>Normal</v>
      </c>
    </row>
    <row r="73" spans="1:13" x14ac:dyDescent="0.3">
      <c r="A73" s="1">
        <v>72</v>
      </c>
      <c r="B73" s="1" t="s">
        <v>82</v>
      </c>
      <c r="C73" s="1">
        <v>36</v>
      </c>
      <c r="D73" s="1" t="s">
        <v>10</v>
      </c>
      <c r="E73" s="1">
        <v>7</v>
      </c>
      <c r="F73" s="2">
        <v>45799</v>
      </c>
      <c r="G73" s="2">
        <v>45802</v>
      </c>
      <c r="H73" s="1">
        <v>2</v>
      </c>
      <c r="I73" s="1">
        <v>9973</v>
      </c>
      <c r="J73" t="str">
        <f>VLOOKUP(E73,Diagnosis!$A$2:$B$11,2,FALSE)</f>
        <v>Cancer</v>
      </c>
      <c r="K73" t="str">
        <f>VLOOKUP(H73,Outcomes!$A$2:$B$4,2,)</f>
        <v>Complicated</v>
      </c>
      <c r="L73">
        <f t="shared" si="2"/>
        <v>3</v>
      </c>
      <c r="M73" t="str">
        <f t="shared" si="3"/>
        <v>Normal</v>
      </c>
    </row>
    <row r="74" spans="1:13" x14ac:dyDescent="0.3">
      <c r="A74" s="1">
        <v>73</v>
      </c>
      <c r="B74" s="1" t="s">
        <v>83</v>
      </c>
      <c r="C74" s="1">
        <v>73</v>
      </c>
      <c r="D74" s="1" t="s">
        <v>10</v>
      </c>
      <c r="E74" s="1">
        <v>10</v>
      </c>
      <c r="F74" s="2">
        <v>45779</v>
      </c>
      <c r="G74" s="2">
        <v>45783</v>
      </c>
      <c r="H74" s="1">
        <v>1</v>
      </c>
      <c r="I74" s="1">
        <v>2385</v>
      </c>
      <c r="J74" t="str">
        <f>VLOOKUP(E74,Diagnosis!$A$2:$B$11,2,FALSE)</f>
        <v>Liver Disease</v>
      </c>
      <c r="K74" t="str">
        <f>VLOOKUP(H74,Outcomes!$A$2:$B$4,2,)</f>
        <v>Recovered</v>
      </c>
      <c r="L74">
        <f t="shared" si="2"/>
        <v>4</v>
      </c>
      <c r="M74" t="str">
        <f t="shared" si="3"/>
        <v>Normal</v>
      </c>
    </row>
    <row r="75" spans="1:13" x14ac:dyDescent="0.3">
      <c r="A75" s="1">
        <v>74</v>
      </c>
      <c r="B75" s="1" t="s">
        <v>84</v>
      </c>
      <c r="C75" s="1">
        <v>37</v>
      </c>
      <c r="D75" s="1" t="s">
        <v>10</v>
      </c>
      <c r="E75" s="1">
        <v>7</v>
      </c>
      <c r="F75" s="2">
        <v>45790</v>
      </c>
      <c r="G75" s="2">
        <v>45796</v>
      </c>
      <c r="H75" s="1">
        <v>3</v>
      </c>
      <c r="I75" s="1">
        <v>5281</v>
      </c>
      <c r="J75" t="str">
        <f>VLOOKUP(E75,Diagnosis!$A$2:$B$11,2,FALSE)</f>
        <v>Cancer</v>
      </c>
      <c r="K75" t="str">
        <f>VLOOKUP(H75,Outcomes!$A$2:$B$4,2,)</f>
        <v>Deceased</v>
      </c>
      <c r="L75">
        <f t="shared" si="2"/>
        <v>6</v>
      </c>
      <c r="M75" t="str">
        <f t="shared" si="3"/>
        <v>Normal</v>
      </c>
    </row>
    <row r="76" spans="1:13" x14ac:dyDescent="0.3">
      <c r="A76" s="1">
        <v>75</v>
      </c>
      <c r="B76" s="1" t="s">
        <v>85</v>
      </c>
      <c r="C76" s="1">
        <v>76</v>
      </c>
      <c r="D76" s="1" t="s">
        <v>14</v>
      </c>
      <c r="E76" s="1">
        <v>10</v>
      </c>
      <c r="F76" s="2">
        <v>45820</v>
      </c>
      <c r="G76" s="2">
        <v>45822</v>
      </c>
      <c r="H76" s="1">
        <v>1</v>
      </c>
      <c r="I76" s="1">
        <v>2474</v>
      </c>
      <c r="J76" t="str">
        <f>VLOOKUP(E76,Diagnosis!$A$2:$B$11,2,FALSE)</f>
        <v>Liver Disease</v>
      </c>
      <c r="K76" t="str">
        <f>VLOOKUP(H76,Outcomes!$A$2:$B$4,2,)</f>
        <v>Recovered</v>
      </c>
      <c r="L76">
        <f t="shared" si="2"/>
        <v>2</v>
      </c>
      <c r="M76" t="str">
        <f t="shared" si="3"/>
        <v>Normal</v>
      </c>
    </row>
    <row r="77" spans="1:13" x14ac:dyDescent="0.3">
      <c r="A77" s="1">
        <v>76</v>
      </c>
      <c r="B77" s="1" t="s">
        <v>86</v>
      </c>
      <c r="C77" s="1">
        <v>64</v>
      </c>
      <c r="D77" s="1" t="s">
        <v>14</v>
      </c>
      <c r="E77" s="1">
        <v>3</v>
      </c>
      <c r="F77" s="2">
        <v>45732</v>
      </c>
      <c r="G77" s="2">
        <v>45747</v>
      </c>
      <c r="H77" s="1">
        <v>1</v>
      </c>
      <c r="I77" s="1">
        <v>2417</v>
      </c>
      <c r="J77" t="str">
        <f>VLOOKUP(E77,Diagnosis!$A$2:$B$11,2,FALSE)</f>
        <v>Heart Disease</v>
      </c>
      <c r="K77" t="str">
        <f>VLOOKUP(H77,Outcomes!$A$2:$B$4,2,)</f>
        <v>Recovered</v>
      </c>
      <c r="L77">
        <f t="shared" si="2"/>
        <v>15</v>
      </c>
      <c r="M77" t="str">
        <f t="shared" si="3"/>
        <v>Normal</v>
      </c>
    </row>
    <row r="78" spans="1:13" x14ac:dyDescent="0.3">
      <c r="A78" s="1">
        <v>77</v>
      </c>
      <c r="B78" s="1" t="s">
        <v>87</v>
      </c>
      <c r="C78" s="1">
        <v>43</v>
      </c>
      <c r="D78" s="1" t="s">
        <v>14</v>
      </c>
      <c r="E78" s="1">
        <v>2</v>
      </c>
      <c r="F78" s="2">
        <v>45803</v>
      </c>
      <c r="G78" s="2">
        <v>45805</v>
      </c>
      <c r="H78" s="1">
        <v>1</v>
      </c>
      <c r="I78" s="1">
        <v>8490</v>
      </c>
      <c r="J78" t="str">
        <f>VLOOKUP(E78,Diagnosis!$A$2:$B$11,2,FALSE)</f>
        <v>Diabetes</v>
      </c>
      <c r="K78" t="str">
        <f>VLOOKUP(H78,Outcomes!$A$2:$B$4,2,)</f>
        <v>Recovered</v>
      </c>
      <c r="L78">
        <f t="shared" si="2"/>
        <v>2</v>
      </c>
      <c r="M78" t="str">
        <f t="shared" si="3"/>
        <v>Normal</v>
      </c>
    </row>
    <row r="79" spans="1:13" x14ac:dyDescent="0.3">
      <c r="A79" s="1">
        <v>78</v>
      </c>
      <c r="B79" s="1" t="s">
        <v>88</v>
      </c>
      <c r="C79" s="1">
        <v>46</v>
      </c>
      <c r="D79" s="1" t="s">
        <v>14</v>
      </c>
      <c r="E79" s="1">
        <v>9</v>
      </c>
      <c r="F79" s="2">
        <v>45733</v>
      </c>
      <c r="G79" s="2">
        <v>45740</v>
      </c>
      <c r="H79" s="1">
        <v>1</v>
      </c>
      <c r="I79" s="1">
        <v>5600</v>
      </c>
      <c r="J79" t="str">
        <f>VLOOKUP(E79,Diagnosis!$A$2:$B$11,2,FALSE)</f>
        <v>Kidney Disease</v>
      </c>
      <c r="K79" t="str">
        <f>VLOOKUP(H79,Outcomes!$A$2:$B$4,2,)</f>
        <v>Recovered</v>
      </c>
      <c r="L79">
        <f t="shared" si="2"/>
        <v>7</v>
      </c>
      <c r="M79" t="str">
        <f t="shared" si="3"/>
        <v>Normal</v>
      </c>
    </row>
    <row r="80" spans="1:13" x14ac:dyDescent="0.3">
      <c r="A80" s="1">
        <v>79</v>
      </c>
      <c r="B80" s="1" t="s">
        <v>89</v>
      </c>
      <c r="C80" s="1">
        <v>65</v>
      </c>
      <c r="D80" s="1" t="s">
        <v>10</v>
      </c>
      <c r="E80" s="1">
        <v>8</v>
      </c>
      <c r="F80" s="2">
        <v>45666</v>
      </c>
      <c r="G80" s="2">
        <v>45798</v>
      </c>
      <c r="H80" s="1">
        <v>3</v>
      </c>
      <c r="I80" s="1">
        <v>8783</v>
      </c>
      <c r="J80" t="str">
        <f>VLOOKUP(E80,Diagnosis!$A$2:$B$11,2,FALSE)</f>
        <v>Arthritis</v>
      </c>
      <c r="K80" t="str">
        <f>VLOOKUP(H80,Outcomes!$A$2:$B$4,2,)</f>
        <v>Deceased</v>
      </c>
      <c r="L80">
        <f t="shared" si="2"/>
        <v>132</v>
      </c>
      <c r="M80" t="str">
        <f t="shared" si="3"/>
        <v>Normal</v>
      </c>
    </row>
    <row r="81" spans="1:13" x14ac:dyDescent="0.3">
      <c r="A81" s="1">
        <v>80</v>
      </c>
      <c r="B81" s="1" t="s">
        <v>90</v>
      </c>
      <c r="C81" s="1">
        <v>79</v>
      </c>
      <c r="D81" s="1" t="s">
        <v>10</v>
      </c>
      <c r="E81" s="1">
        <v>10</v>
      </c>
      <c r="F81" s="2">
        <v>45731</v>
      </c>
      <c r="G81" s="2">
        <v>45804</v>
      </c>
      <c r="H81" s="1">
        <v>3</v>
      </c>
      <c r="I81" s="1">
        <v>7034</v>
      </c>
      <c r="J81" t="str">
        <f>VLOOKUP(E81,Diagnosis!$A$2:$B$11,2,FALSE)</f>
        <v>Liver Disease</v>
      </c>
      <c r="K81" t="str">
        <f>VLOOKUP(H81,Outcomes!$A$2:$B$4,2,)</f>
        <v>Deceased</v>
      </c>
      <c r="L81">
        <f t="shared" si="2"/>
        <v>73</v>
      </c>
      <c r="M81" t="str">
        <f t="shared" si="3"/>
        <v>Normal</v>
      </c>
    </row>
    <row r="82" spans="1:13" x14ac:dyDescent="0.3">
      <c r="A82" s="1">
        <v>81</v>
      </c>
      <c r="B82" s="1" t="s">
        <v>91</v>
      </c>
      <c r="C82" s="1">
        <v>69</v>
      </c>
      <c r="D82" s="1" t="s">
        <v>14</v>
      </c>
      <c r="E82" s="1">
        <v>7</v>
      </c>
      <c r="F82" s="2">
        <v>45802</v>
      </c>
      <c r="G82" s="2">
        <v>45811</v>
      </c>
      <c r="H82" s="1">
        <v>2</v>
      </c>
      <c r="I82" s="1">
        <v>2954</v>
      </c>
      <c r="J82" t="str">
        <f>VLOOKUP(E82,Diagnosis!$A$2:$B$11,2,FALSE)</f>
        <v>Cancer</v>
      </c>
      <c r="K82" t="str">
        <f>VLOOKUP(H82,Outcomes!$A$2:$B$4,2,)</f>
        <v>Complicated</v>
      </c>
      <c r="L82">
        <f t="shared" si="2"/>
        <v>9</v>
      </c>
      <c r="M82" t="str">
        <f t="shared" si="3"/>
        <v>Normal</v>
      </c>
    </row>
    <row r="83" spans="1:13" x14ac:dyDescent="0.3">
      <c r="A83" s="1">
        <v>82</v>
      </c>
      <c r="B83" s="1" t="s">
        <v>92</v>
      </c>
      <c r="C83" s="1">
        <v>33</v>
      </c>
      <c r="D83" s="1" t="s">
        <v>10</v>
      </c>
      <c r="E83" s="1">
        <v>9</v>
      </c>
      <c r="F83" s="2">
        <v>45664</v>
      </c>
      <c r="G83" s="2">
        <v>45740</v>
      </c>
      <c r="H83" s="1">
        <v>3</v>
      </c>
      <c r="I83" s="1">
        <v>6971</v>
      </c>
      <c r="J83" t="str">
        <f>VLOOKUP(E83,Diagnosis!$A$2:$B$11,2,FALSE)</f>
        <v>Kidney Disease</v>
      </c>
      <c r="K83" t="str">
        <f>VLOOKUP(H83,Outcomes!$A$2:$B$4,2,)</f>
        <v>Deceased</v>
      </c>
      <c r="L83">
        <f t="shared" si="2"/>
        <v>76</v>
      </c>
      <c r="M83" t="str">
        <f t="shared" si="3"/>
        <v>Normal</v>
      </c>
    </row>
    <row r="84" spans="1:13" x14ac:dyDescent="0.3">
      <c r="A84" s="1">
        <v>83</v>
      </c>
      <c r="B84" s="1" t="s">
        <v>93</v>
      </c>
      <c r="C84" s="1">
        <v>31</v>
      </c>
      <c r="D84" s="1" t="s">
        <v>10</v>
      </c>
      <c r="E84" s="1">
        <v>4</v>
      </c>
      <c r="F84" s="2">
        <v>45831</v>
      </c>
      <c r="G84" s="2">
        <v>45833</v>
      </c>
      <c r="H84" s="1">
        <v>3</v>
      </c>
      <c r="I84" s="1">
        <v>6858</v>
      </c>
      <c r="J84" t="str">
        <f>VLOOKUP(E84,Diagnosis!$A$2:$B$11,2,FALSE)</f>
        <v>Asthma</v>
      </c>
      <c r="K84" t="str">
        <f>VLOOKUP(H84,Outcomes!$A$2:$B$4,2,)</f>
        <v>Deceased</v>
      </c>
      <c r="L84">
        <f t="shared" si="2"/>
        <v>2</v>
      </c>
      <c r="M84" t="str">
        <f t="shared" si="3"/>
        <v>Normal</v>
      </c>
    </row>
    <row r="85" spans="1:13" x14ac:dyDescent="0.3">
      <c r="A85" s="1">
        <v>84</v>
      </c>
      <c r="B85" s="1" t="s">
        <v>94</v>
      </c>
      <c r="C85" s="1">
        <v>35</v>
      </c>
      <c r="D85" s="1" t="s">
        <v>10</v>
      </c>
      <c r="E85" s="1">
        <v>4</v>
      </c>
      <c r="F85" s="2">
        <v>45798</v>
      </c>
      <c r="G85" s="2">
        <v>45804</v>
      </c>
      <c r="H85" s="1">
        <v>2</v>
      </c>
      <c r="I85" s="1">
        <v>7298</v>
      </c>
      <c r="J85" t="str">
        <f>VLOOKUP(E85,Diagnosis!$A$2:$B$11,2,FALSE)</f>
        <v>Asthma</v>
      </c>
      <c r="K85" t="str">
        <f>VLOOKUP(H85,Outcomes!$A$2:$B$4,2,)</f>
        <v>Complicated</v>
      </c>
      <c r="L85">
        <f t="shared" si="2"/>
        <v>6</v>
      </c>
      <c r="M85" t="str">
        <f t="shared" si="3"/>
        <v>Normal</v>
      </c>
    </row>
    <row r="86" spans="1:13" x14ac:dyDescent="0.3">
      <c r="A86" s="1">
        <v>85</v>
      </c>
      <c r="B86" s="1" t="s">
        <v>95</v>
      </c>
      <c r="C86" s="1">
        <v>83</v>
      </c>
      <c r="D86" s="1" t="s">
        <v>14</v>
      </c>
      <c r="E86" s="1">
        <v>1</v>
      </c>
      <c r="F86" s="2">
        <v>45825</v>
      </c>
      <c r="G86" s="2">
        <v>45831</v>
      </c>
      <c r="H86" s="1">
        <v>3</v>
      </c>
      <c r="I86" s="1">
        <v>3205</v>
      </c>
      <c r="J86" t="str">
        <f>VLOOKUP(E86,Diagnosis!$A$2:$B$11,2,FALSE)</f>
        <v>Hypertension</v>
      </c>
      <c r="K86" t="str">
        <f>VLOOKUP(H86,Outcomes!$A$2:$B$4,2,)</f>
        <v>Deceased</v>
      </c>
      <c r="L86">
        <f t="shared" si="2"/>
        <v>6</v>
      </c>
      <c r="M86" t="str">
        <f t="shared" si="3"/>
        <v>Normal</v>
      </c>
    </row>
    <row r="87" spans="1:13" x14ac:dyDescent="0.3">
      <c r="A87" s="1">
        <v>86</v>
      </c>
      <c r="B87" s="1" t="s">
        <v>96</v>
      </c>
      <c r="C87" s="1">
        <v>71</v>
      </c>
      <c r="D87" s="1" t="s">
        <v>14</v>
      </c>
      <c r="E87" s="1">
        <v>8</v>
      </c>
      <c r="F87" s="2">
        <v>45827</v>
      </c>
      <c r="G87" s="2">
        <v>45837</v>
      </c>
      <c r="H87" s="1">
        <v>1</v>
      </c>
      <c r="I87" s="1">
        <v>6759</v>
      </c>
      <c r="J87" t="str">
        <f>VLOOKUP(E87,Diagnosis!$A$2:$B$11,2,FALSE)</f>
        <v>Arthritis</v>
      </c>
      <c r="K87" t="str">
        <f>VLOOKUP(H87,Outcomes!$A$2:$B$4,2,)</f>
        <v>Recovered</v>
      </c>
      <c r="L87">
        <f t="shared" si="2"/>
        <v>10</v>
      </c>
      <c r="M87" t="str">
        <f t="shared" si="3"/>
        <v>Normal</v>
      </c>
    </row>
    <row r="88" spans="1:13" x14ac:dyDescent="0.3">
      <c r="A88" s="1">
        <v>87</v>
      </c>
      <c r="B88" s="1" t="s">
        <v>97</v>
      </c>
      <c r="C88" s="1">
        <v>33</v>
      </c>
      <c r="D88" s="1" t="s">
        <v>10</v>
      </c>
      <c r="E88" s="1">
        <v>3</v>
      </c>
      <c r="F88" s="2">
        <v>45794</v>
      </c>
      <c r="G88" s="2">
        <v>45799</v>
      </c>
      <c r="H88" s="1">
        <v>1</v>
      </c>
      <c r="I88" s="1">
        <v>6120</v>
      </c>
      <c r="J88" t="str">
        <f>VLOOKUP(E88,Diagnosis!$A$2:$B$11,2,FALSE)</f>
        <v>Heart Disease</v>
      </c>
      <c r="K88" t="str">
        <f>VLOOKUP(H88,Outcomes!$A$2:$B$4,2,)</f>
        <v>Recovered</v>
      </c>
      <c r="L88">
        <f t="shared" si="2"/>
        <v>5</v>
      </c>
      <c r="M88" t="str">
        <f t="shared" si="3"/>
        <v>Normal</v>
      </c>
    </row>
    <row r="89" spans="1:13" x14ac:dyDescent="0.3">
      <c r="A89" s="1">
        <v>88</v>
      </c>
      <c r="B89" s="1" t="s">
        <v>98</v>
      </c>
      <c r="C89" s="1">
        <v>83</v>
      </c>
      <c r="D89" s="1" t="s">
        <v>14</v>
      </c>
      <c r="E89" s="1">
        <v>7</v>
      </c>
      <c r="F89" s="2">
        <v>45835</v>
      </c>
      <c r="G89" s="2">
        <v>45836</v>
      </c>
      <c r="H89" s="1">
        <v>2</v>
      </c>
      <c r="I89" s="1">
        <v>3990</v>
      </c>
      <c r="J89" t="str">
        <f>VLOOKUP(E89,Diagnosis!$A$2:$B$11,2,FALSE)</f>
        <v>Cancer</v>
      </c>
      <c r="K89" t="str">
        <f>VLOOKUP(H89,Outcomes!$A$2:$B$4,2,)</f>
        <v>Complicated</v>
      </c>
      <c r="L89">
        <f t="shared" si="2"/>
        <v>1</v>
      </c>
      <c r="M89" t="str">
        <f t="shared" si="3"/>
        <v>Normal</v>
      </c>
    </row>
    <row r="90" spans="1:13" x14ac:dyDescent="0.3">
      <c r="A90" s="1">
        <v>89</v>
      </c>
      <c r="B90" s="1" t="s">
        <v>99</v>
      </c>
      <c r="C90" s="1">
        <v>58</v>
      </c>
      <c r="D90" s="1" t="s">
        <v>14</v>
      </c>
      <c r="E90" s="1">
        <v>2</v>
      </c>
      <c r="F90" s="2">
        <v>45684</v>
      </c>
      <c r="G90" s="2">
        <v>45792</v>
      </c>
      <c r="H90" s="1">
        <v>2</v>
      </c>
      <c r="I90" s="1">
        <v>7299</v>
      </c>
      <c r="J90" t="str">
        <f>VLOOKUP(E90,Diagnosis!$A$2:$B$11,2,FALSE)</f>
        <v>Diabetes</v>
      </c>
      <c r="K90" t="str">
        <f>VLOOKUP(H90,Outcomes!$A$2:$B$4,2,)</f>
        <v>Complicated</v>
      </c>
      <c r="L90">
        <f t="shared" si="2"/>
        <v>108</v>
      </c>
      <c r="M90" t="str">
        <f t="shared" si="3"/>
        <v>Normal</v>
      </c>
    </row>
    <row r="91" spans="1:13" x14ac:dyDescent="0.3">
      <c r="A91" s="1">
        <v>90</v>
      </c>
      <c r="B91" s="1" t="s">
        <v>100</v>
      </c>
      <c r="C91" s="1">
        <v>47</v>
      </c>
      <c r="D91" s="1" t="s">
        <v>14</v>
      </c>
      <c r="E91" s="1">
        <v>2</v>
      </c>
      <c r="F91" s="2">
        <v>45779</v>
      </c>
      <c r="G91" s="2">
        <v>45787</v>
      </c>
      <c r="H91" s="1">
        <v>2</v>
      </c>
      <c r="I91" s="1">
        <v>6805</v>
      </c>
      <c r="J91" t="str">
        <f>VLOOKUP(E91,Diagnosis!$A$2:$B$11,2,FALSE)</f>
        <v>Diabetes</v>
      </c>
      <c r="K91" t="str">
        <f>VLOOKUP(H91,Outcomes!$A$2:$B$4,2,)</f>
        <v>Complicated</v>
      </c>
      <c r="L91">
        <f t="shared" si="2"/>
        <v>8</v>
      </c>
      <c r="M91" t="str">
        <f t="shared" si="3"/>
        <v>Normal</v>
      </c>
    </row>
    <row r="92" spans="1:13" x14ac:dyDescent="0.3">
      <c r="A92" s="1">
        <v>91</v>
      </c>
      <c r="B92" s="1" t="s">
        <v>101</v>
      </c>
      <c r="C92" s="1">
        <v>55</v>
      </c>
      <c r="D92" s="1" t="s">
        <v>14</v>
      </c>
      <c r="E92" s="1">
        <v>7</v>
      </c>
      <c r="F92" s="2">
        <v>45662</v>
      </c>
      <c r="G92" s="2">
        <v>45781</v>
      </c>
      <c r="H92" s="1">
        <v>1</v>
      </c>
      <c r="I92" s="1">
        <v>5572</v>
      </c>
      <c r="J92" t="str">
        <f>VLOOKUP(E92,Diagnosis!$A$2:$B$11,2,FALSE)</f>
        <v>Cancer</v>
      </c>
      <c r="K92" t="str">
        <f>VLOOKUP(H92,Outcomes!$A$2:$B$4,2,)</f>
        <v>Recovered</v>
      </c>
      <c r="L92">
        <f t="shared" si="2"/>
        <v>119</v>
      </c>
      <c r="M92" t="str">
        <f t="shared" si="3"/>
        <v>Normal</v>
      </c>
    </row>
    <row r="93" spans="1:13" x14ac:dyDescent="0.3">
      <c r="A93" s="1">
        <v>92</v>
      </c>
      <c r="B93" s="1" t="s">
        <v>102</v>
      </c>
      <c r="C93" s="1">
        <v>73</v>
      </c>
      <c r="D93" s="1" t="s">
        <v>14</v>
      </c>
      <c r="E93" s="1">
        <v>6</v>
      </c>
      <c r="F93" s="2">
        <v>45686</v>
      </c>
      <c r="G93" s="2">
        <v>45777</v>
      </c>
      <c r="H93" s="1">
        <v>3</v>
      </c>
      <c r="I93" s="1">
        <v>7975</v>
      </c>
      <c r="J93" t="str">
        <f>VLOOKUP(E93,Diagnosis!$A$2:$B$11,2,FALSE)</f>
        <v>COPD</v>
      </c>
      <c r="K93" t="str">
        <f>VLOOKUP(H93,Outcomes!$A$2:$B$4,2,)</f>
        <v>Deceased</v>
      </c>
      <c r="L93">
        <f t="shared" si="2"/>
        <v>91</v>
      </c>
      <c r="M93" t="str">
        <f t="shared" si="3"/>
        <v>Normal</v>
      </c>
    </row>
    <row r="94" spans="1:13" x14ac:dyDescent="0.3">
      <c r="A94" s="1">
        <v>93</v>
      </c>
      <c r="B94" s="1" t="s">
        <v>103</v>
      </c>
      <c r="C94" s="1">
        <v>63</v>
      </c>
      <c r="D94" s="1" t="s">
        <v>10</v>
      </c>
      <c r="E94" s="1">
        <v>3</v>
      </c>
      <c r="F94" s="2">
        <v>45822</v>
      </c>
      <c r="G94" s="2">
        <v>45831</v>
      </c>
      <c r="H94" s="1">
        <v>1</v>
      </c>
      <c r="I94" s="1">
        <v>7280</v>
      </c>
      <c r="J94" t="str">
        <f>VLOOKUP(E94,Diagnosis!$A$2:$B$11,2,FALSE)</f>
        <v>Heart Disease</v>
      </c>
      <c r="K94" t="str">
        <f>VLOOKUP(H94,Outcomes!$A$2:$B$4,2,)</f>
        <v>Recovered</v>
      </c>
      <c r="L94">
        <f t="shared" si="2"/>
        <v>9</v>
      </c>
      <c r="M94" t="str">
        <f t="shared" si="3"/>
        <v>Normal</v>
      </c>
    </row>
    <row r="95" spans="1:13" x14ac:dyDescent="0.3">
      <c r="A95" s="1">
        <v>94</v>
      </c>
      <c r="B95" s="1" t="s">
        <v>104</v>
      </c>
      <c r="C95" s="1">
        <v>39</v>
      </c>
      <c r="D95" s="1" t="s">
        <v>14</v>
      </c>
      <c r="E95" s="1">
        <v>9</v>
      </c>
      <c r="F95" s="2">
        <v>45823</v>
      </c>
      <c r="G95" s="2">
        <v>45825</v>
      </c>
      <c r="H95" s="1">
        <v>2</v>
      </c>
      <c r="I95" s="1">
        <v>8320</v>
      </c>
      <c r="J95" t="str">
        <f>VLOOKUP(E95,Diagnosis!$A$2:$B$11,2,FALSE)</f>
        <v>Kidney Disease</v>
      </c>
      <c r="K95" t="str">
        <f>VLOOKUP(H95,Outcomes!$A$2:$B$4,2,)</f>
        <v>Complicated</v>
      </c>
      <c r="L95">
        <f t="shared" si="2"/>
        <v>2</v>
      </c>
      <c r="M95" t="str">
        <f t="shared" si="3"/>
        <v>Normal</v>
      </c>
    </row>
    <row r="96" spans="1:13" x14ac:dyDescent="0.3">
      <c r="A96" s="1">
        <v>95</v>
      </c>
      <c r="B96" s="1" t="s">
        <v>105</v>
      </c>
      <c r="C96" s="1">
        <v>65</v>
      </c>
      <c r="D96" s="1" t="s">
        <v>10</v>
      </c>
      <c r="E96" s="1">
        <v>10</v>
      </c>
      <c r="F96" s="2">
        <v>45740</v>
      </c>
      <c r="G96" s="2">
        <v>45761</v>
      </c>
      <c r="H96" s="1">
        <v>3</v>
      </c>
      <c r="I96" s="1">
        <v>6380</v>
      </c>
      <c r="J96" t="str">
        <f>VLOOKUP(E96,Diagnosis!$A$2:$B$11,2,FALSE)</f>
        <v>Liver Disease</v>
      </c>
      <c r="K96" t="str">
        <f>VLOOKUP(H96,Outcomes!$A$2:$B$4,2,)</f>
        <v>Deceased</v>
      </c>
      <c r="L96">
        <f t="shared" si="2"/>
        <v>21</v>
      </c>
      <c r="M96" t="str">
        <f t="shared" si="3"/>
        <v>Normal</v>
      </c>
    </row>
    <row r="97" spans="1:13" x14ac:dyDescent="0.3">
      <c r="A97" s="1">
        <v>96</v>
      </c>
      <c r="B97" s="1" t="s">
        <v>106</v>
      </c>
      <c r="C97" s="1">
        <v>43</v>
      </c>
      <c r="D97" s="1" t="s">
        <v>10</v>
      </c>
      <c r="E97" s="1">
        <v>6</v>
      </c>
      <c r="F97" s="2">
        <v>45793</v>
      </c>
      <c r="G97" s="2">
        <v>45800</v>
      </c>
      <c r="H97" s="1">
        <v>3</v>
      </c>
      <c r="I97" s="1">
        <v>6158</v>
      </c>
      <c r="J97" t="str">
        <f>VLOOKUP(E97,Diagnosis!$A$2:$B$11,2,FALSE)</f>
        <v>COPD</v>
      </c>
      <c r="K97" t="str">
        <f>VLOOKUP(H97,Outcomes!$A$2:$B$4,2,)</f>
        <v>Deceased</v>
      </c>
      <c r="L97">
        <f t="shared" si="2"/>
        <v>7</v>
      </c>
      <c r="M97" t="str">
        <f t="shared" si="3"/>
        <v>Normal</v>
      </c>
    </row>
    <row r="98" spans="1:13" x14ac:dyDescent="0.3">
      <c r="A98" s="1">
        <v>97</v>
      </c>
      <c r="B98" s="1" t="s">
        <v>107</v>
      </c>
      <c r="C98" s="1">
        <v>60</v>
      </c>
      <c r="D98" s="1" t="s">
        <v>14</v>
      </c>
      <c r="E98" s="1">
        <v>10</v>
      </c>
      <c r="F98" s="2">
        <v>45766</v>
      </c>
      <c r="G98" s="2">
        <v>45810</v>
      </c>
      <c r="H98" s="1">
        <v>1</v>
      </c>
      <c r="I98" s="1">
        <v>7098</v>
      </c>
      <c r="J98" t="str">
        <f>VLOOKUP(E98,Diagnosis!$A$2:$B$11,2,FALSE)</f>
        <v>Liver Disease</v>
      </c>
      <c r="K98" t="str">
        <f>VLOOKUP(H98,Outcomes!$A$2:$B$4,2,)</f>
        <v>Recovered</v>
      </c>
      <c r="L98">
        <f t="shared" si="2"/>
        <v>44</v>
      </c>
      <c r="M98" t="str">
        <f t="shared" si="3"/>
        <v>Normal</v>
      </c>
    </row>
    <row r="99" spans="1:13" x14ac:dyDescent="0.3">
      <c r="A99" s="1">
        <v>98</v>
      </c>
      <c r="B99" s="1" t="s">
        <v>108</v>
      </c>
      <c r="C99" s="1">
        <v>77</v>
      </c>
      <c r="D99" s="1" t="s">
        <v>10</v>
      </c>
      <c r="E99" s="1">
        <v>10</v>
      </c>
      <c r="F99" s="2">
        <v>45722</v>
      </c>
      <c r="G99" s="2">
        <v>45724</v>
      </c>
      <c r="H99" s="1">
        <v>2</v>
      </c>
      <c r="I99" s="1">
        <v>6757</v>
      </c>
      <c r="J99" t="str">
        <f>VLOOKUP(E99,Diagnosis!$A$2:$B$11,2,FALSE)</f>
        <v>Liver Disease</v>
      </c>
      <c r="K99" t="str">
        <f>VLOOKUP(H99,Outcomes!$A$2:$B$4,2,)</f>
        <v>Complicated</v>
      </c>
      <c r="L99">
        <f t="shared" si="2"/>
        <v>2</v>
      </c>
      <c r="M99" t="str">
        <f t="shared" si="3"/>
        <v>Normal</v>
      </c>
    </row>
    <row r="100" spans="1:13" x14ac:dyDescent="0.3">
      <c r="A100" s="1">
        <v>99</v>
      </c>
      <c r="B100" s="1" t="s">
        <v>109</v>
      </c>
      <c r="C100" s="1">
        <v>44</v>
      </c>
      <c r="D100" s="1" t="s">
        <v>10</v>
      </c>
      <c r="E100" s="1">
        <v>6</v>
      </c>
      <c r="F100" s="2">
        <v>45743</v>
      </c>
      <c r="G100" s="2">
        <v>45798</v>
      </c>
      <c r="H100" s="1">
        <v>1</v>
      </c>
      <c r="I100" s="1">
        <v>4713</v>
      </c>
      <c r="J100" t="str">
        <f>VLOOKUP(E100,Diagnosis!$A$2:$B$11,2,FALSE)</f>
        <v>COPD</v>
      </c>
      <c r="K100" t="str">
        <f>VLOOKUP(H100,Outcomes!$A$2:$B$4,2,)</f>
        <v>Recovered</v>
      </c>
      <c r="L100">
        <f t="shared" si="2"/>
        <v>55</v>
      </c>
      <c r="M100" t="str">
        <f t="shared" si="3"/>
        <v>Normal</v>
      </c>
    </row>
    <row r="101" spans="1:13" x14ac:dyDescent="0.3">
      <c r="A101" s="1">
        <v>100</v>
      </c>
      <c r="B101" s="1" t="s">
        <v>110</v>
      </c>
      <c r="C101" s="1">
        <v>37</v>
      </c>
      <c r="D101" s="1" t="s">
        <v>10</v>
      </c>
      <c r="E101" s="1">
        <v>1</v>
      </c>
      <c r="F101" s="2">
        <v>45802</v>
      </c>
      <c r="G101" s="2">
        <v>45811</v>
      </c>
      <c r="H101" s="1">
        <v>3</v>
      </c>
      <c r="I101" s="1">
        <v>4203</v>
      </c>
      <c r="J101" t="str">
        <f>VLOOKUP(E101,Diagnosis!$A$2:$B$11,2,FALSE)</f>
        <v>Hypertension</v>
      </c>
      <c r="K101" t="str">
        <f>VLOOKUP(H101,Outcomes!$A$2:$B$4,2,)</f>
        <v>Deceased</v>
      </c>
      <c r="L101">
        <f t="shared" si="2"/>
        <v>9</v>
      </c>
      <c r="M101" t="str">
        <f t="shared" si="3"/>
        <v>Normal</v>
      </c>
    </row>
    <row r="102" spans="1:13" x14ac:dyDescent="0.3">
      <c r="A102" s="1">
        <v>101</v>
      </c>
      <c r="B102" s="1" t="s">
        <v>111</v>
      </c>
      <c r="C102" s="1">
        <v>43</v>
      </c>
      <c r="D102" s="1" t="s">
        <v>14</v>
      </c>
      <c r="E102" s="1">
        <v>4</v>
      </c>
      <c r="F102" s="2">
        <v>45728</v>
      </c>
      <c r="G102" s="2">
        <v>45798</v>
      </c>
      <c r="H102" s="1">
        <v>1</v>
      </c>
      <c r="I102" s="1">
        <v>7588</v>
      </c>
      <c r="J102" t="str">
        <f>VLOOKUP(E102,Diagnosis!$A$2:$B$11,2,FALSE)</f>
        <v>Asthma</v>
      </c>
      <c r="K102" t="str">
        <f>VLOOKUP(H102,Outcomes!$A$2:$B$4,2,)</f>
        <v>Recovered</v>
      </c>
      <c r="L102">
        <f t="shared" si="2"/>
        <v>70</v>
      </c>
      <c r="M102" t="str">
        <f t="shared" si="3"/>
        <v>Normal</v>
      </c>
    </row>
    <row r="103" spans="1:13" x14ac:dyDescent="0.3">
      <c r="A103" s="1">
        <v>102</v>
      </c>
      <c r="B103" s="1" t="s">
        <v>112</v>
      </c>
      <c r="C103" s="1">
        <v>52</v>
      </c>
      <c r="D103" s="1" t="s">
        <v>14</v>
      </c>
      <c r="E103" s="1">
        <v>10</v>
      </c>
      <c r="F103" s="2">
        <v>45702</v>
      </c>
      <c r="G103" s="2">
        <v>45707</v>
      </c>
      <c r="H103" s="1">
        <v>1</v>
      </c>
      <c r="I103" s="1">
        <v>5120</v>
      </c>
      <c r="J103" t="str">
        <f>VLOOKUP(E103,Diagnosis!$A$2:$B$11,2,FALSE)</f>
        <v>Liver Disease</v>
      </c>
      <c r="K103" t="str">
        <f>VLOOKUP(H103,Outcomes!$A$2:$B$4,2,)</f>
        <v>Recovered</v>
      </c>
      <c r="L103">
        <f t="shared" si="2"/>
        <v>5</v>
      </c>
      <c r="M103" t="str">
        <f t="shared" si="3"/>
        <v>Normal</v>
      </c>
    </row>
    <row r="104" spans="1:13" x14ac:dyDescent="0.3">
      <c r="A104" s="1">
        <v>103</v>
      </c>
      <c r="B104" s="1" t="s">
        <v>113</v>
      </c>
      <c r="C104" s="1">
        <v>89</v>
      </c>
      <c r="D104" s="1" t="s">
        <v>10</v>
      </c>
      <c r="E104" s="1">
        <v>6</v>
      </c>
      <c r="F104" s="2">
        <v>45789</v>
      </c>
      <c r="G104" s="2">
        <v>45799</v>
      </c>
      <c r="H104" s="1">
        <v>2</v>
      </c>
      <c r="I104" s="1">
        <v>2966</v>
      </c>
      <c r="J104" t="str">
        <f>VLOOKUP(E104,Diagnosis!$A$2:$B$11,2,FALSE)</f>
        <v>COPD</v>
      </c>
      <c r="K104" t="str">
        <f>VLOOKUP(H104,Outcomes!$A$2:$B$4,2,)</f>
        <v>Complicated</v>
      </c>
      <c r="L104">
        <f t="shared" si="2"/>
        <v>10</v>
      </c>
      <c r="M104" t="str">
        <f t="shared" si="3"/>
        <v>Normal</v>
      </c>
    </row>
    <row r="105" spans="1:13" x14ac:dyDescent="0.3">
      <c r="A105" s="1">
        <v>104</v>
      </c>
      <c r="B105" s="1" t="s">
        <v>114</v>
      </c>
      <c r="C105" s="1">
        <v>86</v>
      </c>
      <c r="D105" s="1" t="s">
        <v>14</v>
      </c>
      <c r="E105" s="1">
        <v>6</v>
      </c>
      <c r="F105" s="2">
        <v>45693</v>
      </c>
      <c r="G105" s="2">
        <v>45821</v>
      </c>
      <c r="H105" s="1">
        <v>2</v>
      </c>
      <c r="I105" s="1">
        <v>6944</v>
      </c>
      <c r="J105" t="str">
        <f>VLOOKUP(E105,Diagnosis!$A$2:$B$11,2,FALSE)</f>
        <v>COPD</v>
      </c>
      <c r="K105" t="str">
        <f>VLOOKUP(H105,Outcomes!$A$2:$B$4,2,)</f>
        <v>Complicated</v>
      </c>
      <c r="L105">
        <f t="shared" si="2"/>
        <v>128</v>
      </c>
      <c r="M105" t="str">
        <f t="shared" si="3"/>
        <v>Normal</v>
      </c>
    </row>
    <row r="106" spans="1:13" x14ac:dyDescent="0.3">
      <c r="A106" s="1">
        <v>105</v>
      </c>
      <c r="B106" s="1" t="s">
        <v>115</v>
      </c>
      <c r="C106" s="1">
        <v>69</v>
      </c>
      <c r="D106" s="1" t="s">
        <v>14</v>
      </c>
      <c r="E106" s="1">
        <v>5</v>
      </c>
      <c r="F106" s="2">
        <v>45727</v>
      </c>
      <c r="G106" s="2">
        <v>45759</v>
      </c>
      <c r="H106" s="1">
        <v>3</v>
      </c>
      <c r="I106" s="1">
        <v>7203</v>
      </c>
      <c r="J106" t="str">
        <f>VLOOKUP(E106,Diagnosis!$A$2:$B$11,2,FALSE)</f>
        <v>Stroke</v>
      </c>
      <c r="K106" t="str">
        <f>VLOOKUP(H106,Outcomes!$A$2:$B$4,2,)</f>
        <v>Deceased</v>
      </c>
      <c r="L106">
        <f t="shared" si="2"/>
        <v>32</v>
      </c>
      <c r="M106" t="str">
        <f t="shared" si="3"/>
        <v>Normal</v>
      </c>
    </row>
    <row r="107" spans="1:13" x14ac:dyDescent="0.3">
      <c r="A107" s="1">
        <v>106</v>
      </c>
      <c r="B107" s="1" t="s">
        <v>116</v>
      </c>
      <c r="C107" s="1">
        <v>50</v>
      </c>
      <c r="D107" s="1" t="s">
        <v>14</v>
      </c>
      <c r="E107" s="1">
        <v>1</v>
      </c>
      <c r="F107" s="2">
        <v>45816</v>
      </c>
      <c r="G107" s="2">
        <v>45826</v>
      </c>
      <c r="H107" s="1">
        <v>1</v>
      </c>
      <c r="I107" s="1">
        <v>5432</v>
      </c>
      <c r="J107" t="str">
        <f>VLOOKUP(E107,Diagnosis!$A$2:$B$11,2,FALSE)</f>
        <v>Hypertension</v>
      </c>
      <c r="K107" t="str">
        <f>VLOOKUP(H107,Outcomes!$A$2:$B$4,2,)</f>
        <v>Recovered</v>
      </c>
      <c r="L107">
        <f t="shared" si="2"/>
        <v>10</v>
      </c>
      <c r="M107" t="str">
        <f t="shared" si="3"/>
        <v>Normal</v>
      </c>
    </row>
    <row r="108" spans="1:13" x14ac:dyDescent="0.3">
      <c r="A108" s="1">
        <v>107</v>
      </c>
      <c r="B108" s="1" t="s">
        <v>117</v>
      </c>
      <c r="C108" s="1">
        <v>45</v>
      </c>
      <c r="D108" s="1" t="s">
        <v>14</v>
      </c>
      <c r="E108" s="1">
        <v>8</v>
      </c>
      <c r="F108" s="2">
        <v>45676</v>
      </c>
      <c r="G108" s="2">
        <v>45844</v>
      </c>
      <c r="H108" s="1">
        <v>1</v>
      </c>
      <c r="I108" s="1">
        <v>2688</v>
      </c>
      <c r="J108" t="str">
        <f>VLOOKUP(E108,Diagnosis!$A$2:$B$11,2,FALSE)</f>
        <v>Arthritis</v>
      </c>
      <c r="K108" t="str">
        <f>VLOOKUP(H108,Outcomes!$A$2:$B$4,2,)</f>
        <v>Recovered</v>
      </c>
      <c r="L108">
        <f t="shared" si="2"/>
        <v>168</v>
      </c>
      <c r="M108" t="str">
        <f t="shared" si="3"/>
        <v>Normal</v>
      </c>
    </row>
    <row r="109" spans="1:13" x14ac:dyDescent="0.3">
      <c r="A109" s="1">
        <v>108</v>
      </c>
      <c r="B109" s="1" t="s">
        <v>118</v>
      </c>
      <c r="C109" s="1">
        <v>74</v>
      </c>
      <c r="D109" s="1" t="s">
        <v>10</v>
      </c>
      <c r="E109" s="1">
        <v>5</v>
      </c>
      <c r="F109" s="2">
        <v>45765</v>
      </c>
      <c r="G109" s="2">
        <v>45771</v>
      </c>
      <c r="H109" s="1">
        <v>1</v>
      </c>
      <c r="I109" s="1">
        <v>6243</v>
      </c>
      <c r="J109" t="str">
        <f>VLOOKUP(E109,Diagnosis!$A$2:$B$11,2,FALSE)</f>
        <v>Stroke</v>
      </c>
      <c r="K109" t="str">
        <f>VLOOKUP(H109,Outcomes!$A$2:$B$4,2,)</f>
        <v>Recovered</v>
      </c>
      <c r="L109">
        <f t="shared" si="2"/>
        <v>6</v>
      </c>
      <c r="M109" t="str">
        <f t="shared" si="3"/>
        <v>Normal</v>
      </c>
    </row>
    <row r="110" spans="1:13" x14ac:dyDescent="0.3">
      <c r="A110" s="1">
        <v>109</v>
      </c>
      <c r="B110" s="1" t="s">
        <v>119</v>
      </c>
      <c r="C110" s="1">
        <v>47</v>
      </c>
      <c r="D110" s="1" t="s">
        <v>10</v>
      </c>
      <c r="E110" s="1">
        <v>5</v>
      </c>
      <c r="F110" s="2">
        <v>45824</v>
      </c>
      <c r="G110" s="2">
        <v>45834</v>
      </c>
      <c r="H110" s="1">
        <v>3</v>
      </c>
      <c r="I110" s="1">
        <v>5701</v>
      </c>
      <c r="J110" t="str">
        <f>VLOOKUP(E110,Diagnosis!$A$2:$B$11,2,FALSE)</f>
        <v>Stroke</v>
      </c>
      <c r="K110" t="str">
        <f>VLOOKUP(H110,Outcomes!$A$2:$B$4,2,)</f>
        <v>Deceased</v>
      </c>
      <c r="L110">
        <f t="shared" si="2"/>
        <v>10</v>
      </c>
      <c r="M110" t="str">
        <f t="shared" si="3"/>
        <v>Normal</v>
      </c>
    </row>
    <row r="111" spans="1:13" x14ac:dyDescent="0.3">
      <c r="A111" s="1">
        <v>110</v>
      </c>
      <c r="B111" s="1" t="s">
        <v>120</v>
      </c>
      <c r="C111" s="1">
        <v>76</v>
      </c>
      <c r="D111" s="1" t="s">
        <v>14</v>
      </c>
      <c r="E111" s="1">
        <v>7</v>
      </c>
      <c r="F111" s="2">
        <v>45748</v>
      </c>
      <c r="G111" s="2">
        <v>45752</v>
      </c>
      <c r="H111" s="1">
        <v>3</v>
      </c>
      <c r="I111" s="1">
        <v>2341</v>
      </c>
      <c r="J111" t="str">
        <f>VLOOKUP(E111,Diagnosis!$A$2:$B$11,2,FALSE)</f>
        <v>Cancer</v>
      </c>
      <c r="K111" t="str">
        <f>VLOOKUP(H111,Outcomes!$A$2:$B$4,2,)</f>
        <v>Deceased</v>
      </c>
      <c r="L111">
        <f t="shared" si="2"/>
        <v>4</v>
      </c>
      <c r="M111" t="str">
        <f t="shared" si="3"/>
        <v>Normal</v>
      </c>
    </row>
    <row r="112" spans="1:13" x14ac:dyDescent="0.3">
      <c r="A112" s="1">
        <v>111</v>
      </c>
      <c r="B112" s="1" t="s">
        <v>121</v>
      </c>
      <c r="C112" s="1">
        <v>82</v>
      </c>
      <c r="D112" s="1" t="s">
        <v>14</v>
      </c>
      <c r="E112" s="1">
        <v>4</v>
      </c>
      <c r="F112" s="2">
        <v>45747</v>
      </c>
      <c r="G112" s="2">
        <v>45813</v>
      </c>
      <c r="H112" s="1">
        <v>2</v>
      </c>
      <c r="I112" s="1">
        <v>8619</v>
      </c>
      <c r="J112" t="str">
        <f>VLOOKUP(E112,Diagnosis!$A$2:$B$11,2,FALSE)</f>
        <v>Asthma</v>
      </c>
      <c r="K112" t="str">
        <f>VLOOKUP(H112,Outcomes!$A$2:$B$4,2,)</f>
        <v>Complicated</v>
      </c>
      <c r="L112">
        <f t="shared" si="2"/>
        <v>66</v>
      </c>
      <c r="M112" t="str">
        <f t="shared" si="3"/>
        <v>Normal</v>
      </c>
    </row>
    <row r="113" spans="1:13" x14ac:dyDescent="0.3">
      <c r="A113" s="1">
        <v>112</v>
      </c>
      <c r="B113" s="1" t="s">
        <v>122</v>
      </c>
      <c r="C113" s="1">
        <v>53</v>
      </c>
      <c r="D113" s="1" t="s">
        <v>10</v>
      </c>
      <c r="E113" s="1">
        <v>6</v>
      </c>
      <c r="F113" s="2">
        <v>45676</v>
      </c>
      <c r="G113" s="2">
        <v>45687</v>
      </c>
      <c r="H113" s="1">
        <v>2</v>
      </c>
      <c r="I113" s="1">
        <v>7182</v>
      </c>
      <c r="J113" t="str">
        <f>VLOOKUP(E113,Diagnosis!$A$2:$B$11,2,FALSE)</f>
        <v>COPD</v>
      </c>
      <c r="K113" t="str">
        <f>VLOOKUP(H113,Outcomes!$A$2:$B$4,2,)</f>
        <v>Complicated</v>
      </c>
      <c r="L113">
        <f t="shared" si="2"/>
        <v>11</v>
      </c>
      <c r="M113" t="str">
        <f t="shared" si="3"/>
        <v>Normal</v>
      </c>
    </row>
    <row r="114" spans="1:13" x14ac:dyDescent="0.3">
      <c r="A114" s="1">
        <v>113</v>
      </c>
      <c r="B114" s="1" t="s">
        <v>123</v>
      </c>
      <c r="C114" s="1">
        <v>55</v>
      </c>
      <c r="D114" s="1" t="s">
        <v>10</v>
      </c>
      <c r="E114" s="1">
        <v>4</v>
      </c>
      <c r="F114" s="2">
        <v>45696</v>
      </c>
      <c r="G114" s="2">
        <v>45698</v>
      </c>
      <c r="H114" s="1">
        <v>2</v>
      </c>
      <c r="I114" s="1">
        <v>3724</v>
      </c>
      <c r="J114" t="str">
        <f>VLOOKUP(E114,Diagnosis!$A$2:$B$11,2,FALSE)</f>
        <v>Asthma</v>
      </c>
      <c r="K114" t="str">
        <f>VLOOKUP(H114,Outcomes!$A$2:$B$4,2,)</f>
        <v>Complicated</v>
      </c>
      <c r="L114">
        <f t="shared" si="2"/>
        <v>2</v>
      </c>
      <c r="M114" t="str">
        <f t="shared" si="3"/>
        <v>Normal</v>
      </c>
    </row>
    <row r="115" spans="1:13" x14ac:dyDescent="0.3">
      <c r="A115" s="1">
        <v>114</v>
      </c>
      <c r="B115" s="1" t="s">
        <v>124</v>
      </c>
      <c r="C115" s="1">
        <v>54</v>
      </c>
      <c r="D115" s="1" t="s">
        <v>14</v>
      </c>
      <c r="E115" s="1">
        <v>3</v>
      </c>
      <c r="F115" s="2">
        <v>45783</v>
      </c>
      <c r="G115" s="2">
        <v>45784</v>
      </c>
      <c r="H115" s="1">
        <v>1</v>
      </c>
      <c r="I115" s="1">
        <v>7479</v>
      </c>
      <c r="J115" t="str">
        <f>VLOOKUP(E115,Diagnosis!$A$2:$B$11,2,FALSE)</f>
        <v>Heart Disease</v>
      </c>
      <c r="K115" t="str">
        <f>VLOOKUP(H115,Outcomes!$A$2:$B$4,2,)</f>
        <v>Recovered</v>
      </c>
      <c r="L115">
        <f t="shared" si="2"/>
        <v>1</v>
      </c>
      <c r="M115" t="str">
        <f t="shared" si="3"/>
        <v>Normal</v>
      </c>
    </row>
    <row r="116" spans="1:13" x14ac:dyDescent="0.3">
      <c r="A116" s="1">
        <v>115</v>
      </c>
      <c r="B116" s="1" t="s">
        <v>125</v>
      </c>
      <c r="C116" s="1">
        <v>89</v>
      </c>
      <c r="D116" s="1" t="s">
        <v>10</v>
      </c>
      <c r="E116" s="1">
        <v>7</v>
      </c>
      <c r="F116" s="2">
        <v>45830</v>
      </c>
      <c r="G116" s="2">
        <v>45836</v>
      </c>
      <c r="H116" s="1">
        <v>1</v>
      </c>
      <c r="I116" s="1">
        <v>8704</v>
      </c>
      <c r="J116" t="str">
        <f>VLOOKUP(E116,Diagnosis!$A$2:$B$11,2,FALSE)</f>
        <v>Cancer</v>
      </c>
      <c r="K116" t="str">
        <f>VLOOKUP(H116,Outcomes!$A$2:$B$4,2,)</f>
        <v>Recovered</v>
      </c>
      <c r="L116">
        <f t="shared" si="2"/>
        <v>6</v>
      </c>
      <c r="M116" t="str">
        <f t="shared" si="3"/>
        <v>Normal</v>
      </c>
    </row>
    <row r="117" spans="1:13" x14ac:dyDescent="0.3">
      <c r="A117" s="1">
        <v>116</v>
      </c>
      <c r="B117" s="1" t="s">
        <v>126</v>
      </c>
      <c r="C117" s="1">
        <v>89</v>
      </c>
      <c r="D117" s="1" t="s">
        <v>14</v>
      </c>
      <c r="E117" s="1">
        <v>8</v>
      </c>
      <c r="F117" s="2">
        <v>45798</v>
      </c>
      <c r="G117" s="2">
        <v>45802</v>
      </c>
      <c r="H117" s="1">
        <v>2</v>
      </c>
      <c r="I117" s="1">
        <v>6422</v>
      </c>
      <c r="J117" t="str">
        <f>VLOOKUP(E117,Diagnosis!$A$2:$B$11,2,FALSE)</f>
        <v>Arthritis</v>
      </c>
      <c r="K117" t="str">
        <f>VLOOKUP(H117,Outcomes!$A$2:$B$4,2,)</f>
        <v>Complicated</v>
      </c>
      <c r="L117">
        <f t="shared" si="2"/>
        <v>4</v>
      </c>
      <c r="M117" t="str">
        <f t="shared" si="3"/>
        <v>Normal</v>
      </c>
    </row>
    <row r="118" spans="1:13" x14ac:dyDescent="0.3">
      <c r="A118" s="1">
        <v>117</v>
      </c>
      <c r="B118" s="1" t="s">
        <v>127</v>
      </c>
      <c r="C118" s="1">
        <v>89</v>
      </c>
      <c r="D118" s="1" t="s">
        <v>14</v>
      </c>
      <c r="E118" s="1">
        <v>4</v>
      </c>
      <c r="F118" s="2">
        <v>45783</v>
      </c>
      <c r="G118" s="2">
        <v>45788</v>
      </c>
      <c r="H118" s="1">
        <v>1</v>
      </c>
      <c r="I118" s="1">
        <v>3792</v>
      </c>
      <c r="J118" t="str">
        <f>VLOOKUP(E118,Diagnosis!$A$2:$B$11,2,FALSE)</f>
        <v>Asthma</v>
      </c>
      <c r="K118" t="str">
        <f>VLOOKUP(H118,Outcomes!$A$2:$B$4,2,)</f>
        <v>Recovered</v>
      </c>
      <c r="L118">
        <f t="shared" si="2"/>
        <v>5</v>
      </c>
      <c r="M118" t="str">
        <f t="shared" si="3"/>
        <v>Normal</v>
      </c>
    </row>
    <row r="119" spans="1:13" x14ac:dyDescent="0.3">
      <c r="A119" s="1">
        <v>118</v>
      </c>
      <c r="B119" s="1" t="s">
        <v>128</v>
      </c>
      <c r="C119" s="1">
        <v>74</v>
      </c>
      <c r="D119" s="1" t="s">
        <v>10</v>
      </c>
      <c r="E119" s="1">
        <v>2</v>
      </c>
      <c r="F119" s="2">
        <v>45715</v>
      </c>
      <c r="G119" s="2">
        <v>45815</v>
      </c>
      <c r="H119" s="1">
        <v>2</v>
      </c>
      <c r="I119" s="1">
        <v>3759</v>
      </c>
      <c r="J119" t="str">
        <f>VLOOKUP(E119,Diagnosis!$A$2:$B$11,2,FALSE)</f>
        <v>Diabetes</v>
      </c>
      <c r="K119" t="str">
        <f>VLOOKUP(H119,Outcomes!$A$2:$B$4,2,)</f>
        <v>Complicated</v>
      </c>
      <c r="L119">
        <f t="shared" si="2"/>
        <v>100</v>
      </c>
      <c r="M119" t="str">
        <f t="shared" si="3"/>
        <v>Normal</v>
      </c>
    </row>
    <row r="120" spans="1:13" x14ac:dyDescent="0.3">
      <c r="A120" s="1">
        <v>119</v>
      </c>
      <c r="B120" s="1" t="s">
        <v>129</v>
      </c>
      <c r="C120" s="1">
        <v>70</v>
      </c>
      <c r="D120" s="1" t="s">
        <v>10</v>
      </c>
      <c r="E120" s="1">
        <v>10</v>
      </c>
      <c r="F120" s="2">
        <v>45805</v>
      </c>
      <c r="G120" s="2">
        <v>45807</v>
      </c>
      <c r="H120" s="1">
        <v>3</v>
      </c>
      <c r="I120" s="1">
        <v>5212</v>
      </c>
      <c r="J120" t="str">
        <f>VLOOKUP(E120,Diagnosis!$A$2:$B$11,2,FALSE)</f>
        <v>Liver Disease</v>
      </c>
      <c r="K120" t="str">
        <f>VLOOKUP(H120,Outcomes!$A$2:$B$4,2,)</f>
        <v>Deceased</v>
      </c>
      <c r="L120">
        <f t="shared" si="2"/>
        <v>2</v>
      </c>
      <c r="M120" t="str">
        <f t="shared" si="3"/>
        <v>Normal</v>
      </c>
    </row>
    <row r="121" spans="1:13" x14ac:dyDescent="0.3">
      <c r="A121" s="1">
        <v>120</v>
      </c>
      <c r="B121" s="1" t="s">
        <v>130</v>
      </c>
      <c r="C121" s="1">
        <v>58</v>
      </c>
      <c r="D121" s="1" t="s">
        <v>14</v>
      </c>
      <c r="E121" s="1">
        <v>3</v>
      </c>
      <c r="F121" s="2">
        <v>45718</v>
      </c>
      <c r="G121" s="2">
        <v>45722</v>
      </c>
      <c r="H121" s="1">
        <v>2</v>
      </c>
      <c r="I121" s="1">
        <v>2989</v>
      </c>
      <c r="J121" t="str">
        <f>VLOOKUP(E121,Diagnosis!$A$2:$B$11,2,FALSE)</f>
        <v>Heart Disease</v>
      </c>
      <c r="K121" t="str">
        <f>VLOOKUP(H121,Outcomes!$A$2:$B$4,2,)</f>
        <v>Complicated</v>
      </c>
      <c r="L121">
        <f t="shared" si="2"/>
        <v>4</v>
      </c>
      <c r="M121" t="str">
        <f t="shared" si="3"/>
        <v>Normal</v>
      </c>
    </row>
    <row r="122" spans="1:13" x14ac:dyDescent="0.3">
      <c r="A122" s="1">
        <v>121</v>
      </c>
      <c r="B122" s="1" t="s">
        <v>131</v>
      </c>
      <c r="C122" s="1">
        <v>44</v>
      </c>
      <c r="D122" s="1" t="s">
        <v>14</v>
      </c>
      <c r="E122" s="1">
        <v>1</v>
      </c>
      <c r="F122" s="2">
        <v>45784</v>
      </c>
      <c r="G122" s="2">
        <v>45799</v>
      </c>
      <c r="H122" s="1">
        <v>3</v>
      </c>
      <c r="I122" s="1">
        <v>4262</v>
      </c>
      <c r="J122" t="str">
        <f>VLOOKUP(E122,Diagnosis!$A$2:$B$11,2,FALSE)</f>
        <v>Hypertension</v>
      </c>
      <c r="K122" t="str">
        <f>VLOOKUP(H122,Outcomes!$A$2:$B$4,2,)</f>
        <v>Deceased</v>
      </c>
      <c r="L122">
        <f t="shared" si="2"/>
        <v>15</v>
      </c>
      <c r="M122" t="str">
        <f t="shared" si="3"/>
        <v>Normal</v>
      </c>
    </row>
    <row r="123" spans="1:13" x14ac:dyDescent="0.3">
      <c r="A123" s="1">
        <v>122</v>
      </c>
      <c r="B123" s="1" t="s">
        <v>132</v>
      </c>
      <c r="C123" s="1">
        <v>74</v>
      </c>
      <c r="D123" s="1" t="s">
        <v>10</v>
      </c>
      <c r="E123" s="1">
        <v>8</v>
      </c>
      <c r="F123" s="2">
        <v>45762</v>
      </c>
      <c r="G123" s="2">
        <v>45764</v>
      </c>
      <c r="H123" s="1">
        <v>1</v>
      </c>
      <c r="I123" s="1">
        <v>4482</v>
      </c>
      <c r="J123" t="str">
        <f>VLOOKUP(E123,Diagnosis!$A$2:$B$11,2,FALSE)</f>
        <v>Arthritis</v>
      </c>
      <c r="K123" t="str">
        <f>VLOOKUP(H123,Outcomes!$A$2:$B$4,2,)</f>
        <v>Recovered</v>
      </c>
      <c r="L123">
        <f t="shared" si="2"/>
        <v>2</v>
      </c>
      <c r="M123" t="str">
        <f t="shared" si="3"/>
        <v>Normal</v>
      </c>
    </row>
    <row r="124" spans="1:13" x14ac:dyDescent="0.3">
      <c r="A124" s="1">
        <v>123</v>
      </c>
      <c r="B124" s="1" t="s">
        <v>133</v>
      </c>
      <c r="C124" s="1">
        <v>30</v>
      </c>
      <c r="D124" s="1" t="s">
        <v>14</v>
      </c>
      <c r="E124" s="1">
        <v>3</v>
      </c>
      <c r="F124" s="2">
        <v>45824</v>
      </c>
      <c r="G124" s="2">
        <v>45831</v>
      </c>
      <c r="H124" s="1">
        <v>2</v>
      </c>
      <c r="I124" s="1">
        <v>2951</v>
      </c>
      <c r="J124" t="str">
        <f>VLOOKUP(E124,Diagnosis!$A$2:$B$11,2,FALSE)</f>
        <v>Heart Disease</v>
      </c>
      <c r="K124" t="str">
        <f>VLOOKUP(H124,Outcomes!$A$2:$B$4,2,)</f>
        <v>Complicated</v>
      </c>
      <c r="L124">
        <f t="shared" si="2"/>
        <v>7</v>
      </c>
      <c r="M124" t="str">
        <f t="shared" si="3"/>
        <v>Normal</v>
      </c>
    </row>
    <row r="125" spans="1:13" x14ac:dyDescent="0.3">
      <c r="A125" s="1">
        <v>124</v>
      </c>
      <c r="B125" s="1" t="s">
        <v>134</v>
      </c>
      <c r="C125" s="1">
        <v>54</v>
      </c>
      <c r="D125" s="1" t="s">
        <v>10</v>
      </c>
      <c r="E125" s="1">
        <v>10</v>
      </c>
      <c r="F125" s="2">
        <v>45658</v>
      </c>
      <c r="G125" s="2">
        <v>45712</v>
      </c>
      <c r="H125" s="1">
        <v>1</v>
      </c>
      <c r="I125" s="1">
        <v>2722</v>
      </c>
      <c r="J125" t="str">
        <f>VLOOKUP(E125,Diagnosis!$A$2:$B$11,2,FALSE)</f>
        <v>Liver Disease</v>
      </c>
      <c r="K125" t="str">
        <f>VLOOKUP(H125,Outcomes!$A$2:$B$4,2,)</f>
        <v>Recovered</v>
      </c>
      <c r="L125">
        <f t="shared" si="2"/>
        <v>54</v>
      </c>
      <c r="M125" t="str">
        <f t="shared" si="3"/>
        <v>Normal</v>
      </c>
    </row>
    <row r="126" spans="1:13" x14ac:dyDescent="0.3">
      <c r="A126" s="1">
        <v>125</v>
      </c>
      <c r="B126" s="1" t="s">
        <v>135</v>
      </c>
      <c r="C126" s="1">
        <v>36</v>
      </c>
      <c r="D126" s="1" t="s">
        <v>14</v>
      </c>
      <c r="E126" s="1">
        <v>7</v>
      </c>
      <c r="F126" s="2">
        <v>45788</v>
      </c>
      <c r="G126" s="2">
        <v>45793</v>
      </c>
      <c r="H126" s="1">
        <v>3</v>
      </c>
      <c r="I126" s="1">
        <v>5389</v>
      </c>
      <c r="J126" t="str">
        <f>VLOOKUP(E126,Diagnosis!$A$2:$B$11,2,FALSE)</f>
        <v>Cancer</v>
      </c>
      <c r="K126" t="str">
        <f>VLOOKUP(H126,Outcomes!$A$2:$B$4,2,)</f>
        <v>Deceased</v>
      </c>
      <c r="L126">
        <f t="shared" si="2"/>
        <v>5</v>
      </c>
      <c r="M126" t="str">
        <f t="shared" si="3"/>
        <v>Normal</v>
      </c>
    </row>
    <row r="127" spans="1:13" x14ac:dyDescent="0.3">
      <c r="A127" s="1">
        <v>126</v>
      </c>
      <c r="B127" s="1" t="s">
        <v>136</v>
      </c>
      <c r="C127" s="1">
        <v>38</v>
      </c>
      <c r="D127" s="1" t="s">
        <v>10</v>
      </c>
      <c r="E127" s="1">
        <v>10</v>
      </c>
      <c r="F127" s="2">
        <v>45749</v>
      </c>
      <c r="G127" s="2">
        <v>45843</v>
      </c>
      <c r="H127" s="1">
        <v>3</v>
      </c>
      <c r="I127" s="1">
        <v>4079</v>
      </c>
      <c r="J127" t="str">
        <f>VLOOKUP(E127,Diagnosis!$A$2:$B$11,2,FALSE)</f>
        <v>Liver Disease</v>
      </c>
      <c r="K127" t="str">
        <f>VLOOKUP(H127,Outcomes!$A$2:$B$4,2,)</f>
        <v>Deceased</v>
      </c>
      <c r="L127">
        <f t="shared" si="2"/>
        <v>94</v>
      </c>
      <c r="M127" t="str">
        <f t="shared" si="3"/>
        <v>Normal</v>
      </c>
    </row>
    <row r="128" spans="1:13" x14ac:dyDescent="0.3">
      <c r="A128" s="1">
        <v>127</v>
      </c>
      <c r="B128" s="1" t="s">
        <v>137</v>
      </c>
      <c r="C128" s="1">
        <v>53</v>
      </c>
      <c r="D128" s="1" t="s">
        <v>10</v>
      </c>
      <c r="E128" s="1">
        <v>5</v>
      </c>
      <c r="F128" s="2">
        <v>45770</v>
      </c>
      <c r="G128" s="2">
        <v>45778</v>
      </c>
      <c r="H128" s="1">
        <v>3</v>
      </c>
      <c r="I128" s="1">
        <v>4717</v>
      </c>
      <c r="J128" t="str">
        <f>VLOOKUP(E128,Diagnosis!$A$2:$B$11,2,FALSE)</f>
        <v>Stroke</v>
      </c>
      <c r="K128" t="str">
        <f>VLOOKUP(H128,Outcomes!$A$2:$B$4,2,)</f>
        <v>Deceased</v>
      </c>
      <c r="L128">
        <f t="shared" si="2"/>
        <v>8</v>
      </c>
      <c r="M128" t="str">
        <f t="shared" si="3"/>
        <v>Normal</v>
      </c>
    </row>
    <row r="129" spans="1:13" x14ac:dyDescent="0.3">
      <c r="A129" s="1">
        <v>128</v>
      </c>
      <c r="B129" s="1" t="s">
        <v>138</v>
      </c>
      <c r="C129" s="1">
        <v>30</v>
      </c>
      <c r="D129" s="1" t="s">
        <v>10</v>
      </c>
      <c r="E129" s="1">
        <v>10</v>
      </c>
      <c r="F129" s="2">
        <v>45810</v>
      </c>
      <c r="G129" s="2">
        <v>45816</v>
      </c>
      <c r="H129" s="1">
        <v>1</v>
      </c>
      <c r="I129" s="1">
        <v>4332</v>
      </c>
      <c r="J129" t="str">
        <f>VLOOKUP(E129,Diagnosis!$A$2:$B$11,2,FALSE)</f>
        <v>Liver Disease</v>
      </c>
      <c r="K129" t="str">
        <f>VLOOKUP(H129,Outcomes!$A$2:$B$4,2,)</f>
        <v>Recovered</v>
      </c>
      <c r="L129">
        <f t="shared" si="2"/>
        <v>6</v>
      </c>
      <c r="M129" t="str">
        <f t="shared" si="3"/>
        <v>Normal</v>
      </c>
    </row>
    <row r="130" spans="1:13" x14ac:dyDescent="0.3">
      <c r="A130" s="1">
        <v>129</v>
      </c>
      <c r="B130" s="1" t="s">
        <v>139</v>
      </c>
      <c r="C130" s="1">
        <v>73</v>
      </c>
      <c r="D130" s="1" t="s">
        <v>14</v>
      </c>
      <c r="E130" s="1">
        <v>5</v>
      </c>
      <c r="F130" s="2">
        <v>45713</v>
      </c>
      <c r="G130" s="2">
        <v>45821</v>
      </c>
      <c r="H130" s="1">
        <v>1</v>
      </c>
      <c r="I130" s="1">
        <v>5376</v>
      </c>
      <c r="J130" t="str">
        <f>VLOOKUP(E130,Diagnosis!$A$2:$B$11,2,FALSE)</f>
        <v>Stroke</v>
      </c>
      <c r="K130" t="str">
        <f>VLOOKUP(H130,Outcomes!$A$2:$B$4,2,)</f>
        <v>Recovered</v>
      </c>
      <c r="L130">
        <f t="shared" si="2"/>
        <v>108</v>
      </c>
      <c r="M130" t="str">
        <f t="shared" si="3"/>
        <v>Normal</v>
      </c>
    </row>
    <row r="131" spans="1:13" x14ac:dyDescent="0.3">
      <c r="A131" s="1">
        <v>130</v>
      </c>
      <c r="B131" s="1" t="s">
        <v>140</v>
      </c>
      <c r="C131" s="1">
        <v>37</v>
      </c>
      <c r="D131" s="1" t="s">
        <v>14</v>
      </c>
      <c r="E131" s="1">
        <v>7</v>
      </c>
      <c r="F131" s="2">
        <v>45818</v>
      </c>
      <c r="G131" s="2">
        <v>45821</v>
      </c>
      <c r="H131" s="1">
        <v>1</v>
      </c>
      <c r="I131" s="1">
        <v>6524</v>
      </c>
      <c r="J131" t="str">
        <f>VLOOKUP(E131,Diagnosis!$A$2:$B$11,2,FALSE)</f>
        <v>Cancer</v>
      </c>
      <c r="K131" t="str">
        <f>VLOOKUP(H131,Outcomes!$A$2:$B$4,2,)</f>
        <v>Recovered</v>
      </c>
      <c r="L131">
        <f t="shared" ref="L131:L194" si="4">DATEDIF(F131,G131,"d")</f>
        <v>3</v>
      </c>
      <c r="M131" t="str">
        <f t="shared" ref="M131:M194" si="5">IF(VLOOKUP(A131,$A$2:$D$201,3,FALSE)&gt;120,"High","Normal")</f>
        <v>Normal</v>
      </c>
    </row>
    <row r="132" spans="1:13" x14ac:dyDescent="0.3">
      <c r="A132" s="1">
        <v>131</v>
      </c>
      <c r="B132" s="1" t="s">
        <v>141</v>
      </c>
      <c r="C132" s="1">
        <v>53</v>
      </c>
      <c r="D132" s="1" t="s">
        <v>10</v>
      </c>
      <c r="E132" s="1">
        <v>9</v>
      </c>
      <c r="F132" s="2">
        <v>45823</v>
      </c>
      <c r="G132" s="2">
        <v>45829</v>
      </c>
      <c r="H132" s="1">
        <v>1</v>
      </c>
      <c r="I132" s="1">
        <v>3500</v>
      </c>
      <c r="J132" t="str">
        <f>VLOOKUP(E132,Diagnosis!$A$2:$B$11,2,FALSE)</f>
        <v>Kidney Disease</v>
      </c>
      <c r="K132" t="str">
        <f>VLOOKUP(H132,Outcomes!$A$2:$B$4,2,)</f>
        <v>Recovered</v>
      </c>
      <c r="L132">
        <f t="shared" si="4"/>
        <v>6</v>
      </c>
      <c r="M132" t="str">
        <f t="shared" si="5"/>
        <v>Normal</v>
      </c>
    </row>
    <row r="133" spans="1:13" x14ac:dyDescent="0.3">
      <c r="A133" s="1">
        <v>132</v>
      </c>
      <c r="B133" s="1" t="s">
        <v>142</v>
      </c>
      <c r="C133" s="1">
        <v>40</v>
      </c>
      <c r="D133" s="1" t="s">
        <v>14</v>
      </c>
      <c r="E133" s="1">
        <v>5</v>
      </c>
      <c r="F133" s="2">
        <v>45774</v>
      </c>
      <c r="G133" s="2">
        <v>45780</v>
      </c>
      <c r="H133" s="1">
        <v>3</v>
      </c>
      <c r="I133" s="1">
        <v>2285</v>
      </c>
      <c r="J133" t="str">
        <f>VLOOKUP(E133,Diagnosis!$A$2:$B$11,2,FALSE)</f>
        <v>Stroke</v>
      </c>
      <c r="K133" t="str">
        <f>VLOOKUP(H133,Outcomes!$A$2:$B$4,2,)</f>
        <v>Deceased</v>
      </c>
      <c r="L133">
        <f t="shared" si="4"/>
        <v>6</v>
      </c>
      <c r="M133" t="str">
        <f t="shared" si="5"/>
        <v>Normal</v>
      </c>
    </row>
    <row r="134" spans="1:13" x14ac:dyDescent="0.3">
      <c r="A134" s="1">
        <v>133</v>
      </c>
      <c r="B134" s="1" t="s">
        <v>143</v>
      </c>
      <c r="C134" s="1">
        <v>80</v>
      </c>
      <c r="D134" s="1" t="s">
        <v>10</v>
      </c>
      <c r="E134" s="1">
        <v>1</v>
      </c>
      <c r="F134" s="2">
        <v>45791</v>
      </c>
      <c r="G134" s="2">
        <v>45795</v>
      </c>
      <c r="H134" s="1">
        <v>3</v>
      </c>
      <c r="I134" s="1">
        <v>9311</v>
      </c>
      <c r="J134" t="str">
        <f>VLOOKUP(E134,Diagnosis!$A$2:$B$11,2,FALSE)</f>
        <v>Hypertension</v>
      </c>
      <c r="K134" t="str">
        <f>VLOOKUP(H134,Outcomes!$A$2:$B$4,2,)</f>
        <v>Deceased</v>
      </c>
      <c r="L134">
        <f t="shared" si="4"/>
        <v>4</v>
      </c>
      <c r="M134" t="str">
        <f t="shared" si="5"/>
        <v>Normal</v>
      </c>
    </row>
    <row r="135" spans="1:13" x14ac:dyDescent="0.3">
      <c r="A135" s="1">
        <v>134</v>
      </c>
      <c r="B135" s="1" t="s">
        <v>144</v>
      </c>
      <c r="C135" s="1">
        <v>46</v>
      </c>
      <c r="D135" s="1" t="s">
        <v>10</v>
      </c>
      <c r="E135" s="1">
        <v>10</v>
      </c>
      <c r="F135" s="2">
        <v>45715</v>
      </c>
      <c r="G135" s="2">
        <v>45722</v>
      </c>
      <c r="H135" s="1">
        <v>2</v>
      </c>
      <c r="I135" s="1">
        <v>5495</v>
      </c>
      <c r="J135" t="str">
        <f>VLOOKUP(E135,Diagnosis!$A$2:$B$11,2,FALSE)</f>
        <v>Liver Disease</v>
      </c>
      <c r="K135" t="str">
        <f>VLOOKUP(H135,Outcomes!$A$2:$B$4,2,)</f>
        <v>Complicated</v>
      </c>
      <c r="L135">
        <f t="shared" si="4"/>
        <v>7</v>
      </c>
      <c r="M135" t="str">
        <f t="shared" si="5"/>
        <v>Normal</v>
      </c>
    </row>
    <row r="136" spans="1:13" x14ac:dyDescent="0.3">
      <c r="A136" s="1">
        <v>135</v>
      </c>
      <c r="B136" s="1" t="s">
        <v>145</v>
      </c>
      <c r="C136" s="1">
        <v>37</v>
      </c>
      <c r="D136" s="1" t="s">
        <v>14</v>
      </c>
      <c r="E136" s="1">
        <v>10</v>
      </c>
      <c r="F136" s="2">
        <v>45701</v>
      </c>
      <c r="G136" s="2">
        <v>45760</v>
      </c>
      <c r="H136" s="1">
        <v>2</v>
      </c>
      <c r="I136" s="1">
        <v>9186</v>
      </c>
      <c r="J136" t="str">
        <f>VLOOKUP(E136,Diagnosis!$A$2:$B$11,2,FALSE)</f>
        <v>Liver Disease</v>
      </c>
      <c r="K136" t="str">
        <f>VLOOKUP(H136,Outcomes!$A$2:$B$4,2,)</f>
        <v>Complicated</v>
      </c>
      <c r="L136">
        <f t="shared" si="4"/>
        <v>59</v>
      </c>
      <c r="M136" t="str">
        <f t="shared" si="5"/>
        <v>Normal</v>
      </c>
    </row>
    <row r="137" spans="1:13" x14ac:dyDescent="0.3">
      <c r="A137" s="1">
        <v>136</v>
      </c>
      <c r="B137" s="1" t="s">
        <v>146</v>
      </c>
      <c r="C137" s="1">
        <v>64</v>
      </c>
      <c r="D137" s="1" t="s">
        <v>14</v>
      </c>
      <c r="E137" s="1">
        <v>1</v>
      </c>
      <c r="F137" s="2">
        <v>45830</v>
      </c>
      <c r="G137" s="2">
        <v>45835</v>
      </c>
      <c r="H137" s="1">
        <v>1</v>
      </c>
      <c r="I137" s="1">
        <v>4065</v>
      </c>
      <c r="J137" t="str">
        <f>VLOOKUP(E137,Diagnosis!$A$2:$B$11,2,FALSE)</f>
        <v>Hypertension</v>
      </c>
      <c r="K137" t="str">
        <f>VLOOKUP(H137,Outcomes!$A$2:$B$4,2,)</f>
        <v>Recovered</v>
      </c>
      <c r="L137">
        <f t="shared" si="4"/>
        <v>5</v>
      </c>
      <c r="M137" t="str">
        <f t="shared" si="5"/>
        <v>Normal</v>
      </c>
    </row>
    <row r="138" spans="1:13" x14ac:dyDescent="0.3">
      <c r="A138" s="1">
        <v>137</v>
      </c>
      <c r="B138" s="1" t="s">
        <v>147</v>
      </c>
      <c r="C138" s="1">
        <v>64</v>
      </c>
      <c r="D138" s="1" t="s">
        <v>10</v>
      </c>
      <c r="E138" s="1">
        <v>2</v>
      </c>
      <c r="F138" s="2">
        <v>45817</v>
      </c>
      <c r="G138" s="2">
        <v>45819</v>
      </c>
      <c r="H138" s="1">
        <v>3</v>
      </c>
      <c r="I138" s="1">
        <v>2768</v>
      </c>
      <c r="J138" t="str">
        <f>VLOOKUP(E138,Diagnosis!$A$2:$B$11,2,FALSE)</f>
        <v>Diabetes</v>
      </c>
      <c r="K138" t="str">
        <f>VLOOKUP(H138,Outcomes!$A$2:$B$4,2,)</f>
        <v>Deceased</v>
      </c>
      <c r="L138">
        <f t="shared" si="4"/>
        <v>2</v>
      </c>
      <c r="M138" t="str">
        <f t="shared" si="5"/>
        <v>Normal</v>
      </c>
    </row>
    <row r="139" spans="1:13" x14ac:dyDescent="0.3">
      <c r="A139" s="1">
        <v>138</v>
      </c>
      <c r="B139" s="1" t="s">
        <v>148</v>
      </c>
      <c r="C139" s="1">
        <v>62</v>
      </c>
      <c r="D139" s="1" t="s">
        <v>14</v>
      </c>
      <c r="E139" s="1">
        <v>6</v>
      </c>
      <c r="F139" s="2">
        <v>45830</v>
      </c>
      <c r="G139" s="2">
        <v>45840</v>
      </c>
      <c r="H139" s="1">
        <v>3</v>
      </c>
      <c r="I139" s="1">
        <v>8733</v>
      </c>
      <c r="J139" t="str">
        <f>VLOOKUP(E139,Diagnosis!$A$2:$B$11,2,FALSE)</f>
        <v>COPD</v>
      </c>
      <c r="K139" t="str">
        <f>VLOOKUP(H139,Outcomes!$A$2:$B$4,2,)</f>
        <v>Deceased</v>
      </c>
      <c r="L139">
        <f t="shared" si="4"/>
        <v>10</v>
      </c>
      <c r="M139" t="str">
        <f t="shared" si="5"/>
        <v>Normal</v>
      </c>
    </row>
    <row r="140" spans="1:13" x14ac:dyDescent="0.3">
      <c r="A140" s="1">
        <v>139</v>
      </c>
      <c r="B140" s="1" t="s">
        <v>149</v>
      </c>
      <c r="C140" s="1">
        <v>88</v>
      </c>
      <c r="D140" s="1" t="s">
        <v>14</v>
      </c>
      <c r="E140" s="1">
        <v>9</v>
      </c>
      <c r="F140" s="2">
        <v>45718</v>
      </c>
      <c r="G140" s="2">
        <v>45727</v>
      </c>
      <c r="H140" s="1">
        <v>3</v>
      </c>
      <c r="I140" s="1">
        <v>7490</v>
      </c>
      <c r="J140" t="str">
        <f>VLOOKUP(E140,Diagnosis!$A$2:$B$11,2,FALSE)</f>
        <v>Kidney Disease</v>
      </c>
      <c r="K140" t="str">
        <f>VLOOKUP(H140,Outcomes!$A$2:$B$4,2,)</f>
        <v>Deceased</v>
      </c>
      <c r="L140">
        <f t="shared" si="4"/>
        <v>9</v>
      </c>
      <c r="M140" t="str">
        <f t="shared" si="5"/>
        <v>Normal</v>
      </c>
    </row>
    <row r="141" spans="1:13" x14ac:dyDescent="0.3">
      <c r="A141" s="1">
        <v>140</v>
      </c>
      <c r="B141" s="1" t="s">
        <v>150</v>
      </c>
      <c r="C141" s="1">
        <v>34</v>
      </c>
      <c r="D141" s="1" t="s">
        <v>10</v>
      </c>
      <c r="E141" s="1">
        <v>8</v>
      </c>
      <c r="F141" s="2">
        <v>45704</v>
      </c>
      <c r="G141" s="2">
        <v>45747</v>
      </c>
      <c r="H141" s="1">
        <v>2</v>
      </c>
      <c r="I141" s="1">
        <v>9342</v>
      </c>
      <c r="J141" t="str">
        <f>VLOOKUP(E141,Diagnosis!$A$2:$B$11,2,FALSE)</f>
        <v>Arthritis</v>
      </c>
      <c r="K141" t="str">
        <f>VLOOKUP(H141,Outcomes!$A$2:$B$4,2,)</f>
        <v>Complicated</v>
      </c>
      <c r="L141">
        <f t="shared" si="4"/>
        <v>43</v>
      </c>
      <c r="M141" t="str">
        <f t="shared" si="5"/>
        <v>Normal</v>
      </c>
    </row>
    <row r="142" spans="1:13" x14ac:dyDescent="0.3">
      <c r="A142" s="1">
        <v>141</v>
      </c>
      <c r="B142" s="1" t="s">
        <v>151</v>
      </c>
      <c r="C142" s="1">
        <v>71</v>
      </c>
      <c r="D142" s="1" t="s">
        <v>10</v>
      </c>
      <c r="E142" s="1">
        <v>5</v>
      </c>
      <c r="F142" s="2">
        <v>45806</v>
      </c>
      <c r="G142" s="2">
        <v>45809</v>
      </c>
      <c r="H142" s="1">
        <v>2</v>
      </c>
      <c r="I142" s="1">
        <v>5057</v>
      </c>
      <c r="J142" t="str">
        <f>VLOOKUP(E142,Diagnosis!$A$2:$B$11,2,FALSE)</f>
        <v>Stroke</v>
      </c>
      <c r="K142" t="str">
        <f>VLOOKUP(H142,Outcomes!$A$2:$B$4,2,)</f>
        <v>Complicated</v>
      </c>
      <c r="L142">
        <f t="shared" si="4"/>
        <v>3</v>
      </c>
      <c r="M142" t="str">
        <f t="shared" si="5"/>
        <v>Normal</v>
      </c>
    </row>
    <row r="143" spans="1:13" x14ac:dyDescent="0.3">
      <c r="A143" s="1">
        <v>142</v>
      </c>
      <c r="B143" s="1" t="s">
        <v>152</v>
      </c>
      <c r="C143" s="1">
        <v>68</v>
      </c>
      <c r="D143" s="1" t="s">
        <v>14</v>
      </c>
      <c r="E143" s="1">
        <v>1</v>
      </c>
      <c r="F143" s="2">
        <v>45737</v>
      </c>
      <c r="G143" s="2">
        <v>45746</v>
      </c>
      <c r="H143" s="1">
        <v>3</v>
      </c>
      <c r="I143" s="1">
        <v>6289</v>
      </c>
      <c r="J143" t="str">
        <f>VLOOKUP(E143,Diagnosis!$A$2:$B$11,2,FALSE)</f>
        <v>Hypertension</v>
      </c>
      <c r="K143" t="str">
        <f>VLOOKUP(H143,Outcomes!$A$2:$B$4,2,)</f>
        <v>Deceased</v>
      </c>
      <c r="L143">
        <f t="shared" si="4"/>
        <v>9</v>
      </c>
      <c r="M143" t="str">
        <f t="shared" si="5"/>
        <v>Normal</v>
      </c>
    </row>
    <row r="144" spans="1:13" x14ac:dyDescent="0.3">
      <c r="A144" s="1">
        <v>143</v>
      </c>
      <c r="B144" s="1" t="s">
        <v>153</v>
      </c>
      <c r="C144" s="1">
        <v>87</v>
      </c>
      <c r="D144" s="1" t="s">
        <v>10</v>
      </c>
      <c r="E144" s="1">
        <v>7</v>
      </c>
      <c r="F144" s="2">
        <v>45775</v>
      </c>
      <c r="G144" s="2">
        <v>45779</v>
      </c>
      <c r="H144" s="1">
        <v>3</v>
      </c>
      <c r="I144" s="1">
        <v>8645</v>
      </c>
      <c r="J144" t="str">
        <f>VLOOKUP(E144,Diagnosis!$A$2:$B$11,2,FALSE)</f>
        <v>Cancer</v>
      </c>
      <c r="K144" t="str">
        <f>VLOOKUP(H144,Outcomes!$A$2:$B$4,2,)</f>
        <v>Deceased</v>
      </c>
      <c r="L144">
        <f t="shared" si="4"/>
        <v>4</v>
      </c>
      <c r="M144" t="str">
        <f t="shared" si="5"/>
        <v>Normal</v>
      </c>
    </row>
    <row r="145" spans="1:13" x14ac:dyDescent="0.3">
      <c r="A145" s="1">
        <v>144</v>
      </c>
      <c r="B145" s="1" t="s">
        <v>154</v>
      </c>
      <c r="C145" s="1">
        <v>70</v>
      </c>
      <c r="D145" s="1" t="s">
        <v>10</v>
      </c>
      <c r="E145" s="1">
        <v>5</v>
      </c>
      <c r="F145" s="2">
        <v>45821</v>
      </c>
      <c r="G145" s="2">
        <v>45824</v>
      </c>
      <c r="H145" s="1">
        <v>3</v>
      </c>
      <c r="I145" s="1">
        <v>7083</v>
      </c>
      <c r="J145" t="str">
        <f>VLOOKUP(E145,Diagnosis!$A$2:$B$11,2,FALSE)</f>
        <v>Stroke</v>
      </c>
      <c r="K145" t="str">
        <f>VLOOKUP(H145,Outcomes!$A$2:$B$4,2,)</f>
        <v>Deceased</v>
      </c>
      <c r="L145">
        <f t="shared" si="4"/>
        <v>3</v>
      </c>
      <c r="M145" t="str">
        <f t="shared" si="5"/>
        <v>Normal</v>
      </c>
    </row>
    <row r="146" spans="1:13" x14ac:dyDescent="0.3">
      <c r="A146" s="1">
        <v>145</v>
      </c>
      <c r="B146" s="1" t="s">
        <v>155</v>
      </c>
      <c r="C146" s="1">
        <v>57</v>
      </c>
      <c r="D146" s="1" t="s">
        <v>14</v>
      </c>
      <c r="E146" s="1">
        <v>6</v>
      </c>
      <c r="F146" s="2">
        <v>45804</v>
      </c>
      <c r="G146" s="2">
        <v>45812</v>
      </c>
      <c r="H146" s="1">
        <v>2</v>
      </c>
      <c r="I146" s="1">
        <v>7232</v>
      </c>
      <c r="J146" t="str">
        <f>VLOOKUP(E146,Diagnosis!$A$2:$B$11,2,FALSE)</f>
        <v>COPD</v>
      </c>
      <c r="K146" t="str">
        <f>VLOOKUP(H146,Outcomes!$A$2:$B$4,2,)</f>
        <v>Complicated</v>
      </c>
      <c r="L146">
        <f t="shared" si="4"/>
        <v>8</v>
      </c>
      <c r="M146" t="str">
        <f t="shared" si="5"/>
        <v>Normal</v>
      </c>
    </row>
    <row r="147" spans="1:13" x14ac:dyDescent="0.3">
      <c r="A147" s="1">
        <v>146</v>
      </c>
      <c r="B147" s="1" t="s">
        <v>156</v>
      </c>
      <c r="C147" s="1">
        <v>36</v>
      </c>
      <c r="D147" s="1" t="s">
        <v>10</v>
      </c>
      <c r="E147" s="1">
        <v>7</v>
      </c>
      <c r="F147" s="2">
        <v>45677</v>
      </c>
      <c r="G147" s="2">
        <v>45765</v>
      </c>
      <c r="H147" s="1">
        <v>3</v>
      </c>
      <c r="I147" s="1">
        <v>4161</v>
      </c>
      <c r="J147" t="str">
        <f>VLOOKUP(E147,Diagnosis!$A$2:$B$11,2,FALSE)</f>
        <v>Cancer</v>
      </c>
      <c r="K147" t="str">
        <f>VLOOKUP(H147,Outcomes!$A$2:$B$4,2,)</f>
        <v>Deceased</v>
      </c>
      <c r="L147">
        <f t="shared" si="4"/>
        <v>88</v>
      </c>
      <c r="M147" t="str">
        <f t="shared" si="5"/>
        <v>Normal</v>
      </c>
    </row>
    <row r="148" spans="1:13" x14ac:dyDescent="0.3">
      <c r="A148" s="1">
        <v>147</v>
      </c>
      <c r="B148" s="1" t="s">
        <v>157</v>
      </c>
      <c r="C148" s="1">
        <v>38</v>
      </c>
      <c r="D148" s="1" t="s">
        <v>10</v>
      </c>
      <c r="E148" s="1">
        <v>3</v>
      </c>
      <c r="F148" s="2">
        <v>45803</v>
      </c>
      <c r="G148" s="2">
        <v>45846</v>
      </c>
      <c r="H148" s="1">
        <v>3</v>
      </c>
      <c r="I148" s="1">
        <v>5293</v>
      </c>
      <c r="J148" t="str">
        <f>VLOOKUP(E148,Diagnosis!$A$2:$B$11,2,FALSE)</f>
        <v>Heart Disease</v>
      </c>
      <c r="K148" t="str">
        <f>VLOOKUP(H148,Outcomes!$A$2:$B$4,2,)</f>
        <v>Deceased</v>
      </c>
      <c r="L148">
        <f t="shared" si="4"/>
        <v>43</v>
      </c>
      <c r="M148" t="str">
        <f t="shared" si="5"/>
        <v>Normal</v>
      </c>
    </row>
    <row r="149" spans="1:13" x14ac:dyDescent="0.3">
      <c r="A149" s="1">
        <v>148</v>
      </c>
      <c r="B149" s="1" t="s">
        <v>158</v>
      </c>
      <c r="C149" s="1">
        <v>37</v>
      </c>
      <c r="D149" s="1" t="s">
        <v>14</v>
      </c>
      <c r="E149" s="1">
        <v>10</v>
      </c>
      <c r="F149" s="2">
        <v>45704</v>
      </c>
      <c r="G149" s="2">
        <v>45713</v>
      </c>
      <c r="H149" s="1">
        <v>1</v>
      </c>
      <c r="I149" s="1">
        <v>7797</v>
      </c>
      <c r="J149" t="str">
        <f>VLOOKUP(E149,Diagnosis!$A$2:$B$11,2,FALSE)</f>
        <v>Liver Disease</v>
      </c>
      <c r="K149" t="str">
        <f>VLOOKUP(H149,Outcomes!$A$2:$B$4,2,)</f>
        <v>Recovered</v>
      </c>
      <c r="L149">
        <f t="shared" si="4"/>
        <v>9</v>
      </c>
      <c r="M149" t="str">
        <f t="shared" si="5"/>
        <v>Normal</v>
      </c>
    </row>
    <row r="150" spans="1:13" x14ac:dyDescent="0.3">
      <c r="A150" s="1">
        <v>149</v>
      </c>
      <c r="B150" s="1" t="s">
        <v>159</v>
      </c>
      <c r="C150" s="1">
        <v>41</v>
      </c>
      <c r="D150" s="1" t="s">
        <v>14</v>
      </c>
      <c r="E150" s="1">
        <v>3</v>
      </c>
      <c r="F150" s="2">
        <v>45706</v>
      </c>
      <c r="G150" s="2">
        <v>45793</v>
      </c>
      <c r="H150" s="1">
        <v>1</v>
      </c>
      <c r="I150" s="1">
        <v>2946</v>
      </c>
      <c r="J150" t="str">
        <f>VLOOKUP(E150,Diagnosis!$A$2:$B$11,2,FALSE)</f>
        <v>Heart Disease</v>
      </c>
      <c r="K150" t="str">
        <f>VLOOKUP(H150,Outcomes!$A$2:$B$4,2,)</f>
        <v>Recovered</v>
      </c>
      <c r="L150">
        <f t="shared" si="4"/>
        <v>87</v>
      </c>
      <c r="M150" t="str">
        <f t="shared" si="5"/>
        <v>Normal</v>
      </c>
    </row>
    <row r="151" spans="1:13" x14ac:dyDescent="0.3">
      <c r="A151" s="1">
        <v>150</v>
      </c>
      <c r="B151" s="1" t="s">
        <v>160</v>
      </c>
      <c r="C151" s="1">
        <v>63</v>
      </c>
      <c r="D151" s="1" t="s">
        <v>10</v>
      </c>
      <c r="E151" s="1">
        <v>5</v>
      </c>
      <c r="F151" s="2">
        <v>45671</v>
      </c>
      <c r="G151" s="2">
        <v>45722</v>
      </c>
      <c r="H151" s="1">
        <v>2</v>
      </c>
      <c r="I151" s="1">
        <v>6926</v>
      </c>
      <c r="J151" t="str">
        <f>VLOOKUP(E151,Diagnosis!$A$2:$B$11,2,FALSE)</f>
        <v>Stroke</v>
      </c>
      <c r="K151" t="str">
        <f>VLOOKUP(H151,Outcomes!$A$2:$B$4,2,)</f>
        <v>Complicated</v>
      </c>
      <c r="L151">
        <f t="shared" si="4"/>
        <v>51</v>
      </c>
      <c r="M151" t="str">
        <f t="shared" si="5"/>
        <v>Normal</v>
      </c>
    </row>
    <row r="152" spans="1:13" x14ac:dyDescent="0.3">
      <c r="A152" s="1">
        <v>151</v>
      </c>
      <c r="B152" s="1" t="s">
        <v>161</v>
      </c>
      <c r="C152" s="1">
        <v>62</v>
      </c>
      <c r="D152" s="1" t="s">
        <v>10</v>
      </c>
      <c r="E152" s="1">
        <v>6</v>
      </c>
      <c r="F152" s="2">
        <v>45800</v>
      </c>
      <c r="G152" s="2">
        <v>45807</v>
      </c>
      <c r="H152" s="1">
        <v>3</v>
      </c>
      <c r="I152" s="1">
        <v>9811</v>
      </c>
      <c r="J152" t="str">
        <f>VLOOKUP(E152,Diagnosis!$A$2:$B$11,2,FALSE)</f>
        <v>COPD</v>
      </c>
      <c r="K152" t="str">
        <f>VLOOKUP(H152,Outcomes!$A$2:$B$4,2,)</f>
        <v>Deceased</v>
      </c>
      <c r="L152">
        <f t="shared" si="4"/>
        <v>7</v>
      </c>
      <c r="M152" t="str">
        <f t="shared" si="5"/>
        <v>Normal</v>
      </c>
    </row>
    <row r="153" spans="1:13" x14ac:dyDescent="0.3">
      <c r="A153" s="1">
        <v>152</v>
      </c>
      <c r="B153" s="1" t="s">
        <v>162</v>
      </c>
      <c r="C153" s="1">
        <v>77</v>
      </c>
      <c r="D153" s="1" t="s">
        <v>14</v>
      </c>
      <c r="E153" s="1">
        <v>9</v>
      </c>
      <c r="F153" s="2">
        <v>45816</v>
      </c>
      <c r="G153" s="2">
        <v>45821</v>
      </c>
      <c r="H153" s="1">
        <v>3</v>
      </c>
      <c r="I153" s="1">
        <v>8016</v>
      </c>
      <c r="J153" t="str">
        <f>VLOOKUP(E153,Diagnosis!$A$2:$B$11,2,FALSE)</f>
        <v>Kidney Disease</v>
      </c>
      <c r="K153" t="str">
        <f>VLOOKUP(H153,Outcomes!$A$2:$B$4,2,)</f>
        <v>Deceased</v>
      </c>
      <c r="L153">
        <f t="shared" si="4"/>
        <v>5</v>
      </c>
      <c r="M153" t="str">
        <f t="shared" si="5"/>
        <v>Normal</v>
      </c>
    </row>
    <row r="154" spans="1:13" x14ac:dyDescent="0.3">
      <c r="A154" s="1">
        <v>153</v>
      </c>
      <c r="B154" s="1" t="s">
        <v>163</v>
      </c>
      <c r="C154" s="1">
        <v>84</v>
      </c>
      <c r="D154" s="1" t="s">
        <v>14</v>
      </c>
      <c r="E154" s="1">
        <v>5</v>
      </c>
      <c r="F154" s="2">
        <v>45658</v>
      </c>
      <c r="G154" s="2">
        <v>45744</v>
      </c>
      <c r="H154" s="1">
        <v>1</v>
      </c>
      <c r="I154" s="1">
        <v>5335</v>
      </c>
      <c r="J154" t="str">
        <f>VLOOKUP(E154,Diagnosis!$A$2:$B$11,2,FALSE)</f>
        <v>Stroke</v>
      </c>
      <c r="K154" t="str">
        <f>VLOOKUP(H154,Outcomes!$A$2:$B$4,2,)</f>
        <v>Recovered</v>
      </c>
      <c r="L154">
        <f t="shared" si="4"/>
        <v>86</v>
      </c>
      <c r="M154" t="str">
        <f t="shared" si="5"/>
        <v>Normal</v>
      </c>
    </row>
    <row r="155" spans="1:13" x14ac:dyDescent="0.3">
      <c r="A155" s="1">
        <v>154</v>
      </c>
      <c r="B155" s="1" t="s">
        <v>164</v>
      </c>
      <c r="C155" s="1">
        <v>52</v>
      </c>
      <c r="D155" s="1" t="s">
        <v>14</v>
      </c>
      <c r="E155" s="1">
        <v>1</v>
      </c>
      <c r="F155" s="2">
        <v>45774</v>
      </c>
      <c r="G155" s="2">
        <v>45796</v>
      </c>
      <c r="H155" s="1">
        <v>2</v>
      </c>
      <c r="I155" s="1">
        <v>9068</v>
      </c>
      <c r="J155" t="str">
        <f>VLOOKUP(E155,Diagnosis!$A$2:$B$11,2,FALSE)</f>
        <v>Hypertension</v>
      </c>
      <c r="K155" t="str">
        <f>VLOOKUP(H155,Outcomes!$A$2:$B$4,2,)</f>
        <v>Complicated</v>
      </c>
      <c r="L155">
        <f t="shared" si="4"/>
        <v>22</v>
      </c>
      <c r="M155" t="str">
        <f t="shared" si="5"/>
        <v>Normal</v>
      </c>
    </row>
    <row r="156" spans="1:13" x14ac:dyDescent="0.3">
      <c r="A156" s="1">
        <v>155</v>
      </c>
      <c r="B156" s="1" t="s">
        <v>165</v>
      </c>
      <c r="C156" s="1">
        <v>53</v>
      </c>
      <c r="D156" s="1" t="s">
        <v>14</v>
      </c>
      <c r="E156" s="1">
        <v>4</v>
      </c>
      <c r="F156" s="2">
        <v>45711</v>
      </c>
      <c r="G156" s="2">
        <v>45775</v>
      </c>
      <c r="H156" s="1">
        <v>1</v>
      </c>
      <c r="I156" s="1">
        <v>6150</v>
      </c>
      <c r="J156" t="str">
        <f>VLOOKUP(E156,Diagnosis!$A$2:$B$11,2,FALSE)</f>
        <v>Asthma</v>
      </c>
      <c r="K156" t="str">
        <f>VLOOKUP(H156,Outcomes!$A$2:$B$4,2,)</f>
        <v>Recovered</v>
      </c>
      <c r="L156">
        <f t="shared" si="4"/>
        <v>64</v>
      </c>
      <c r="M156" t="str">
        <f t="shared" si="5"/>
        <v>Normal</v>
      </c>
    </row>
    <row r="157" spans="1:13" x14ac:dyDescent="0.3">
      <c r="A157" s="1">
        <v>156</v>
      </c>
      <c r="B157" s="1" t="s">
        <v>166</v>
      </c>
      <c r="C157" s="1">
        <v>66</v>
      </c>
      <c r="D157" s="1" t="s">
        <v>10</v>
      </c>
      <c r="E157" s="1">
        <v>5</v>
      </c>
      <c r="F157" s="2">
        <v>45775</v>
      </c>
      <c r="G157" s="2">
        <v>45820</v>
      </c>
      <c r="H157" s="1">
        <v>1</v>
      </c>
      <c r="I157" s="1">
        <v>9810</v>
      </c>
      <c r="J157" t="str">
        <f>VLOOKUP(E157,Diagnosis!$A$2:$B$11,2,FALSE)</f>
        <v>Stroke</v>
      </c>
      <c r="K157" t="str">
        <f>VLOOKUP(H157,Outcomes!$A$2:$B$4,2,)</f>
        <v>Recovered</v>
      </c>
      <c r="L157">
        <f t="shared" si="4"/>
        <v>45</v>
      </c>
      <c r="M157" t="str">
        <f t="shared" si="5"/>
        <v>Normal</v>
      </c>
    </row>
    <row r="158" spans="1:13" x14ac:dyDescent="0.3">
      <c r="A158" s="1">
        <v>157</v>
      </c>
      <c r="B158" s="1" t="s">
        <v>167</v>
      </c>
      <c r="C158" s="1">
        <v>64</v>
      </c>
      <c r="D158" s="1" t="s">
        <v>14</v>
      </c>
      <c r="E158" s="1">
        <v>10</v>
      </c>
      <c r="F158" s="2">
        <v>45660</v>
      </c>
      <c r="G158" s="2">
        <v>45680</v>
      </c>
      <c r="H158" s="1">
        <v>1</v>
      </c>
      <c r="I158" s="1">
        <v>6895</v>
      </c>
      <c r="J158" t="str">
        <f>VLOOKUP(E158,Diagnosis!$A$2:$B$11,2,FALSE)</f>
        <v>Liver Disease</v>
      </c>
      <c r="K158" t="str">
        <f>VLOOKUP(H158,Outcomes!$A$2:$B$4,2,)</f>
        <v>Recovered</v>
      </c>
      <c r="L158">
        <f t="shared" si="4"/>
        <v>20</v>
      </c>
      <c r="M158" t="str">
        <f t="shared" si="5"/>
        <v>Normal</v>
      </c>
    </row>
    <row r="159" spans="1:13" x14ac:dyDescent="0.3">
      <c r="A159" s="1">
        <v>158</v>
      </c>
      <c r="B159" s="1" t="s">
        <v>168</v>
      </c>
      <c r="C159" s="1">
        <v>73</v>
      </c>
      <c r="D159" s="1" t="s">
        <v>14</v>
      </c>
      <c r="E159" s="1">
        <v>10</v>
      </c>
      <c r="F159" s="2">
        <v>45801</v>
      </c>
      <c r="G159" s="2">
        <v>45810</v>
      </c>
      <c r="H159" s="1">
        <v>1</v>
      </c>
      <c r="I159" s="1">
        <v>6873</v>
      </c>
      <c r="J159" t="str">
        <f>VLOOKUP(E159,Diagnosis!$A$2:$B$11,2,FALSE)</f>
        <v>Liver Disease</v>
      </c>
      <c r="K159" t="str">
        <f>VLOOKUP(H159,Outcomes!$A$2:$B$4,2,)</f>
        <v>Recovered</v>
      </c>
      <c r="L159">
        <f t="shared" si="4"/>
        <v>9</v>
      </c>
      <c r="M159" t="str">
        <f t="shared" si="5"/>
        <v>Normal</v>
      </c>
    </row>
    <row r="160" spans="1:13" x14ac:dyDescent="0.3">
      <c r="A160" s="1">
        <v>159</v>
      </c>
      <c r="B160" s="1" t="s">
        <v>169</v>
      </c>
      <c r="C160" s="1">
        <v>69</v>
      </c>
      <c r="D160" s="1" t="s">
        <v>10</v>
      </c>
      <c r="E160" s="1">
        <v>5</v>
      </c>
      <c r="F160" s="2">
        <v>45669</v>
      </c>
      <c r="G160" s="2">
        <v>45781</v>
      </c>
      <c r="H160" s="1">
        <v>3</v>
      </c>
      <c r="I160" s="1">
        <v>3481</v>
      </c>
      <c r="J160" t="str">
        <f>VLOOKUP(E160,Diagnosis!$A$2:$B$11,2,FALSE)</f>
        <v>Stroke</v>
      </c>
      <c r="K160" t="str">
        <f>VLOOKUP(H160,Outcomes!$A$2:$B$4,2,)</f>
        <v>Deceased</v>
      </c>
      <c r="L160">
        <f t="shared" si="4"/>
        <v>112</v>
      </c>
      <c r="M160" t="str">
        <f t="shared" si="5"/>
        <v>Normal</v>
      </c>
    </row>
    <row r="161" spans="1:13" x14ac:dyDescent="0.3">
      <c r="A161" s="1">
        <v>160</v>
      </c>
      <c r="B161" s="1" t="s">
        <v>170</v>
      </c>
      <c r="C161" s="1">
        <v>51</v>
      </c>
      <c r="D161" s="1" t="s">
        <v>14</v>
      </c>
      <c r="E161" s="1">
        <v>7</v>
      </c>
      <c r="F161" s="2">
        <v>45731</v>
      </c>
      <c r="G161" s="2">
        <v>45735</v>
      </c>
      <c r="H161" s="1">
        <v>3</v>
      </c>
      <c r="I161" s="1">
        <v>3901</v>
      </c>
      <c r="J161" t="str">
        <f>VLOOKUP(E161,Diagnosis!$A$2:$B$11,2,FALSE)</f>
        <v>Cancer</v>
      </c>
      <c r="K161" t="str">
        <f>VLOOKUP(H161,Outcomes!$A$2:$B$4,2,)</f>
        <v>Deceased</v>
      </c>
      <c r="L161">
        <f t="shared" si="4"/>
        <v>4</v>
      </c>
      <c r="M161" t="str">
        <f t="shared" si="5"/>
        <v>Normal</v>
      </c>
    </row>
    <row r="162" spans="1:13" x14ac:dyDescent="0.3">
      <c r="A162" s="1">
        <v>161</v>
      </c>
      <c r="B162" s="1" t="s">
        <v>171</v>
      </c>
      <c r="C162" s="1">
        <v>56</v>
      </c>
      <c r="D162" s="1" t="s">
        <v>10</v>
      </c>
      <c r="E162" s="1">
        <v>4</v>
      </c>
      <c r="F162" s="2">
        <v>45673</v>
      </c>
      <c r="G162" s="2">
        <v>45679</v>
      </c>
      <c r="H162" s="1">
        <v>1</v>
      </c>
      <c r="I162" s="1">
        <v>8305</v>
      </c>
      <c r="J162" t="str">
        <f>VLOOKUP(E162,Diagnosis!$A$2:$B$11,2,FALSE)</f>
        <v>Asthma</v>
      </c>
      <c r="K162" t="str">
        <f>VLOOKUP(H162,Outcomes!$A$2:$B$4,2,)</f>
        <v>Recovered</v>
      </c>
      <c r="L162">
        <f t="shared" si="4"/>
        <v>6</v>
      </c>
      <c r="M162" t="str">
        <f t="shared" si="5"/>
        <v>Normal</v>
      </c>
    </row>
    <row r="163" spans="1:13" x14ac:dyDescent="0.3">
      <c r="A163" s="1">
        <v>162</v>
      </c>
      <c r="B163" s="1" t="s">
        <v>172</v>
      </c>
      <c r="C163" s="1">
        <v>64</v>
      </c>
      <c r="D163" s="1" t="s">
        <v>14</v>
      </c>
      <c r="E163" s="1">
        <v>1</v>
      </c>
      <c r="F163" s="2">
        <v>45759</v>
      </c>
      <c r="G163" s="2">
        <v>45777</v>
      </c>
      <c r="H163" s="1">
        <v>2</v>
      </c>
      <c r="I163" s="1">
        <v>5451</v>
      </c>
      <c r="J163" t="str">
        <f>VLOOKUP(E163,Diagnosis!$A$2:$B$11,2,FALSE)</f>
        <v>Hypertension</v>
      </c>
      <c r="K163" t="str">
        <f>VLOOKUP(H163,Outcomes!$A$2:$B$4,2,)</f>
        <v>Complicated</v>
      </c>
      <c r="L163">
        <f t="shared" si="4"/>
        <v>18</v>
      </c>
      <c r="M163" t="str">
        <f t="shared" si="5"/>
        <v>Normal</v>
      </c>
    </row>
    <row r="164" spans="1:13" x14ac:dyDescent="0.3">
      <c r="A164" s="1">
        <v>163</v>
      </c>
      <c r="B164" s="1" t="s">
        <v>173</v>
      </c>
      <c r="C164" s="1">
        <v>30</v>
      </c>
      <c r="D164" s="1" t="s">
        <v>14</v>
      </c>
      <c r="E164" s="1">
        <v>5</v>
      </c>
      <c r="F164" s="2">
        <v>45809</v>
      </c>
      <c r="G164" s="2">
        <v>45817</v>
      </c>
      <c r="H164" s="1">
        <v>2</v>
      </c>
      <c r="I164" s="1">
        <v>6064</v>
      </c>
      <c r="J164" t="str">
        <f>VLOOKUP(E164,Diagnosis!$A$2:$B$11,2,FALSE)</f>
        <v>Stroke</v>
      </c>
      <c r="K164" t="str">
        <f>VLOOKUP(H164,Outcomes!$A$2:$B$4,2,)</f>
        <v>Complicated</v>
      </c>
      <c r="L164">
        <f t="shared" si="4"/>
        <v>8</v>
      </c>
      <c r="M164" t="str">
        <f t="shared" si="5"/>
        <v>Normal</v>
      </c>
    </row>
    <row r="165" spans="1:13" x14ac:dyDescent="0.3">
      <c r="A165" s="1">
        <v>164</v>
      </c>
      <c r="B165" s="1" t="s">
        <v>174</v>
      </c>
      <c r="C165" s="1">
        <v>64</v>
      </c>
      <c r="D165" s="1" t="s">
        <v>14</v>
      </c>
      <c r="E165" s="1">
        <v>7</v>
      </c>
      <c r="F165" s="2">
        <v>45813</v>
      </c>
      <c r="G165" s="2">
        <v>45814</v>
      </c>
      <c r="H165" s="1">
        <v>2</v>
      </c>
      <c r="I165" s="1">
        <v>8230</v>
      </c>
      <c r="J165" t="str">
        <f>VLOOKUP(E165,Diagnosis!$A$2:$B$11,2,FALSE)</f>
        <v>Cancer</v>
      </c>
      <c r="K165" t="str">
        <f>VLOOKUP(H165,Outcomes!$A$2:$B$4,2,)</f>
        <v>Complicated</v>
      </c>
      <c r="L165">
        <f t="shared" si="4"/>
        <v>1</v>
      </c>
      <c r="M165" t="str">
        <f t="shared" si="5"/>
        <v>Normal</v>
      </c>
    </row>
    <row r="166" spans="1:13" x14ac:dyDescent="0.3">
      <c r="A166" s="1">
        <v>165</v>
      </c>
      <c r="B166" s="1" t="s">
        <v>175</v>
      </c>
      <c r="C166" s="1">
        <v>66</v>
      </c>
      <c r="D166" s="1" t="s">
        <v>10</v>
      </c>
      <c r="E166" s="1">
        <v>10</v>
      </c>
      <c r="F166" s="2">
        <v>45774</v>
      </c>
      <c r="G166" s="2">
        <v>45778</v>
      </c>
      <c r="H166" s="1">
        <v>2</v>
      </c>
      <c r="I166" s="1">
        <v>2054</v>
      </c>
      <c r="J166" t="str">
        <f>VLOOKUP(E166,Diagnosis!$A$2:$B$11,2,FALSE)</f>
        <v>Liver Disease</v>
      </c>
      <c r="K166" t="str">
        <f>VLOOKUP(H166,Outcomes!$A$2:$B$4,2,)</f>
        <v>Complicated</v>
      </c>
      <c r="L166">
        <f t="shared" si="4"/>
        <v>4</v>
      </c>
      <c r="M166" t="str">
        <f t="shared" si="5"/>
        <v>Normal</v>
      </c>
    </row>
    <row r="167" spans="1:13" x14ac:dyDescent="0.3">
      <c r="A167" s="1">
        <v>166</v>
      </c>
      <c r="B167" s="1" t="s">
        <v>176</v>
      </c>
      <c r="C167" s="1">
        <v>76</v>
      </c>
      <c r="D167" s="1" t="s">
        <v>10</v>
      </c>
      <c r="E167" s="1">
        <v>10</v>
      </c>
      <c r="F167" s="2">
        <v>45665</v>
      </c>
      <c r="G167" s="2">
        <v>45704</v>
      </c>
      <c r="H167" s="1">
        <v>1</v>
      </c>
      <c r="I167" s="1">
        <v>9643</v>
      </c>
      <c r="J167" t="str">
        <f>VLOOKUP(E167,Diagnosis!$A$2:$B$11,2,FALSE)</f>
        <v>Liver Disease</v>
      </c>
      <c r="K167" t="str">
        <f>VLOOKUP(H167,Outcomes!$A$2:$B$4,2,)</f>
        <v>Recovered</v>
      </c>
      <c r="L167">
        <f t="shared" si="4"/>
        <v>39</v>
      </c>
      <c r="M167" t="str">
        <f t="shared" si="5"/>
        <v>Normal</v>
      </c>
    </row>
    <row r="168" spans="1:13" x14ac:dyDescent="0.3">
      <c r="A168" s="1">
        <v>167</v>
      </c>
      <c r="B168" s="1" t="s">
        <v>177</v>
      </c>
      <c r="C168" s="1">
        <v>43</v>
      </c>
      <c r="D168" s="1" t="s">
        <v>14</v>
      </c>
      <c r="E168" s="1">
        <v>6</v>
      </c>
      <c r="F168" s="2">
        <v>45779</v>
      </c>
      <c r="G168" s="2">
        <v>45781</v>
      </c>
      <c r="H168" s="1">
        <v>3</v>
      </c>
      <c r="I168" s="1">
        <v>3823</v>
      </c>
      <c r="J168" t="str">
        <f>VLOOKUP(E168,Diagnosis!$A$2:$B$11,2,FALSE)</f>
        <v>COPD</v>
      </c>
      <c r="K168" t="str">
        <f>VLOOKUP(H168,Outcomes!$A$2:$B$4,2,)</f>
        <v>Deceased</v>
      </c>
      <c r="L168">
        <f t="shared" si="4"/>
        <v>2</v>
      </c>
      <c r="M168" t="str">
        <f t="shared" si="5"/>
        <v>Normal</v>
      </c>
    </row>
    <row r="169" spans="1:13" x14ac:dyDescent="0.3">
      <c r="A169" s="1">
        <v>168</v>
      </c>
      <c r="B169" s="1" t="s">
        <v>178</v>
      </c>
      <c r="C169" s="1">
        <v>32</v>
      </c>
      <c r="D169" s="1" t="s">
        <v>10</v>
      </c>
      <c r="E169" s="1">
        <v>5</v>
      </c>
      <c r="F169" s="2">
        <v>45749</v>
      </c>
      <c r="G169" s="2">
        <v>45750</v>
      </c>
      <c r="H169" s="1">
        <v>2</v>
      </c>
      <c r="I169" s="1">
        <v>7297</v>
      </c>
      <c r="J169" t="str">
        <f>VLOOKUP(E169,Diagnosis!$A$2:$B$11,2,FALSE)</f>
        <v>Stroke</v>
      </c>
      <c r="K169" t="str">
        <f>VLOOKUP(H169,Outcomes!$A$2:$B$4,2,)</f>
        <v>Complicated</v>
      </c>
      <c r="L169">
        <f t="shared" si="4"/>
        <v>1</v>
      </c>
      <c r="M169" t="str">
        <f t="shared" si="5"/>
        <v>Normal</v>
      </c>
    </row>
    <row r="170" spans="1:13" x14ac:dyDescent="0.3">
      <c r="A170" s="1">
        <v>169</v>
      </c>
      <c r="B170" s="1" t="s">
        <v>179</v>
      </c>
      <c r="C170" s="1">
        <v>30</v>
      </c>
      <c r="D170" s="1" t="s">
        <v>10</v>
      </c>
      <c r="E170" s="1">
        <v>4</v>
      </c>
      <c r="F170" s="2">
        <v>45821</v>
      </c>
      <c r="G170" s="2">
        <v>45827</v>
      </c>
      <c r="H170" s="1">
        <v>1</v>
      </c>
      <c r="I170" s="1">
        <v>5462</v>
      </c>
      <c r="J170" t="str">
        <f>VLOOKUP(E170,Diagnosis!$A$2:$B$11,2,FALSE)</f>
        <v>Asthma</v>
      </c>
      <c r="K170" t="str">
        <f>VLOOKUP(H170,Outcomes!$A$2:$B$4,2,)</f>
        <v>Recovered</v>
      </c>
      <c r="L170">
        <f t="shared" si="4"/>
        <v>6</v>
      </c>
      <c r="M170" t="str">
        <f t="shared" si="5"/>
        <v>Normal</v>
      </c>
    </row>
    <row r="171" spans="1:13" x14ac:dyDescent="0.3">
      <c r="A171" s="1">
        <v>170</v>
      </c>
      <c r="B171" s="1" t="s">
        <v>180</v>
      </c>
      <c r="C171" s="1">
        <v>34</v>
      </c>
      <c r="D171" s="1" t="s">
        <v>10</v>
      </c>
      <c r="E171" s="1">
        <v>2</v>
      </c>
      <c r="F171" s="2">
        <v>45747</v>
      </c>
      <c r="G171" s="2">
        <v>45754</v>
      </c>
      <c r="H171" s="1">
        <v>2</v>
      </c>
      <c r="I171" s="1">
        <v>9516</v>
      </c>
      <c r="J171" t="str">
        <f>VLOOKUP(E171,Diagnosis!$A$2:$B$11,2,FALSE)</f>
        <v>Diabetes</v>
      </c>
      <c r="K171" t="str">
        <f>VLOOKUP(H171,Outcomes!$A$2:$B$4,2,)</f>
        <v>Complicated</v>
      </c>
      <c r="L171">
        <f t="shared" si="4"/>
        <v>7</v>
      </c>
      <c r="M171" t="str">
        <f t="shared" si="5"/>
        <v>Normal</v>
      </c>
    </row>
    <row r="172" spans="1:13" x14ac:dyDescent="0.3">
      <c r="A172" s="1">
        <v>171</v>
      </c>
      <c r="B172" s="1" t="s">
        <v>181</v>
      </c>
      <c r="C172" s="1">
        <v>55</v>
      </c>
      <c r="D172" s="1" t="s">
        <v>10</v>
      </c>
      <c r="E172" s="1">
        <v>4</v>
      </c>
      <c r="F172" s="2">
        <v>45793</v>
      </c>
      <c r="G172" s="2">
        <v>45798</v>
      </c>
      <c r="H172" s="1">
        <v>2</v>
      </c>
      <c r="I172" s="1">
        <v>5079</v>
      </c>
      <c r="J172" t="str">
        <f>VLOOKUP(E172,Diagnosis!$A$2:$B$11,2,FALSE)</f>
        <v>Asthma</v>
      </c>
      <c r="K172" t="str">
        <f>VLOOKUP(H172,Outcomes!$A$2:$B$4,2,)</f>
        <v>Complicated</v>
      </c>
      <c r="L172">
        <f t="shared" si="4"/>
        <v>5</v>
      </c>
      <c r="M172" t="str">
        <f t="shared" si="5"/>
        <v>Normal</v>
      </c>
    </row>
    <row r="173" spans="1:13" x14ac:dyDescent="0.3">
      <c r="A173" s="1">
        <v>172</v>
      </c>
      <c r="B173" s="1" t="s">
        <v>182</v>
      </c>
      <c r="C173" s="1">
        <v>84</v>
      </c>
      <c r="D173" s="1" t="s">
        <v>10</v>
      </c>
      <c r="E173" s="1">
        <v>10</v>
      </c>
      <c r="F173" s="2">
        <v>45717</v>
      </c>
      <c r="G173" s="2">
        <v>45719</v>
      </c>
      <c r="H173" s="1">
        <v>1</v>
      </c>
      <c r="I173" s="1">
        <v>2832</v>
      </c>
      <c r="J173" t="str">
        <f>VLOOKUP(E173,Diagnosis!$A$2:$B$11,2,FALSE)</f>
        <v>Liver Disease</v>
      </c>
      <c r="K173" t="str">
        <f>VLOOKUP(H173,Outcomes!$A$2:$B$4,2,)</f>
        <v>Recovered</v>
      </c>
      <c r="L173">
        <f t="shared" si="4"/>
        <v>2</v>
      </c>
      <c r="M173" t="str">
        <f t="shared" si="5"/>
        <v>Normal</v>
      </c>
    </row>
    <row r="174" spans="1:13" x14ac:dyDescent="0.3">
      <c r="A174" s="1">
        <v>173</v>
      </c>
      <c r="B174" s="1" t="s">
        <v>183</v>
      </c>
      <c r="C174" s="1">
        <v>43</v>
      </c>
      <c r="D174" s="1" t="s">
        <v>10</v>
      </c>
      <c r="E174" s="1">
        <v>10</v>
      </c>
      <c r="F174" s="2">
        <v>45835</v>
      </c>
      <c r="G174" s="2">
        <v>45839</v>
      </c>
      <c r="H174" s="1">
        <v>3</v>
      </c>
      <c r="I174" s="1">
        <v>6408</v>
      </c>
      <c r="J174" t="str">
        <f>VLOOKUP(E174,Diagnosis!$A$2:$B$11,2,FALSE)</f>
        <v>Liver Disease</v>
      </c>
      <c r="K174" t="str">
        <f>VLOOKUP(H174,Outcomes!$A$2:$B$4,2,)</f>
        <v>Deceased</v>
      </c>
      <c r="L174">
        <f t="shared" si="4"/>
        <v>4</v>
      </c>
      <c r="M174" t="str">
        <f t="shared" si="5"/>
        <v>Normal</v>
      </c>
    </row>
    <row r="175" spans="1:13" x14ac:dyDescent="0.3">
      <c r="A175" s="1">
        <v>174</v>
      </c>
      <c r="B175" s="1" t="s">
        <v>184</v>
      </c>
      <c r="C175" s="1">
        <v>68</v>
      </c>
      <c r="D175" s="1" t="s">
        <v>14</v>
      </c>
      <c r="E175" s="1">
        <v>3</v>
      </c>
      <c r="F175" s="2">
        <v>45685</v>
      </c>
      <c r="G175" s="2">
        <v>45792</v>
      </c>
      <c r="H175" s="1">
        <v>3</v>
      </c>
      <c r="I175" s="1">
        <v>4806</v>
      </c>
      <c r="J175" t="str">
        <f>VLOOKUP(E175,Diagnosis!$A$2:$B$11,2,FALSE)</f>
        <v>Heart Disease</v>
      </c>
      <c r="K175" t="str">
        <f>VLOOKUP(H175,Outcomes!$A$2:$B$4,2,)</f>
        <v>Deceased</v>
      </c>
      <c r="L175">
        <f t="shared" si="4"/>
        <v>107</v>
      </c>
      <c r="M175" t="str">
        <f t="shared" si="5"/>
        <v>Normal</v>
      </c>
    </row>
    <row r="176" spans="1:13" x14ac:dyDescent="0.3">
      <c r="A176" s="1">
        <v>175</v>
      </c>
      <c r="B176" s="1" t="s">
        <v>185</v>
      </c>
      <c r="C176" s="1">
        <v>56</v>
      </c>
      <c r="D176" s="1" t="s">
        <v>14</v>
      </c>
      <c r="E176" s="1">
        <v>10</v>
      </c>
      <c r="F176" s="2">
        <v>45758</v>
      </c>
      <c r="G176" s="2">
        <v>45768</v>
      </c>
      <c r="H176" s="1">
        <v>1</v>
      </c>
      <c r="I176" s="1">
        <v>7954</v>
      </c>
      <c r="J176" t="str">
        <f>VLOOKUP(E176,Diagnosis!$A$2:$B$11,2,FALSE)</f>
        <v>Liver Disease</v>
      </c>
      <c r="K176" t="str">
        <f>VLOOKUP(H176,Outcomes!$A$2:$B$4,2,)</f>
        <v>Recovered</v>
      </c>
      <c r="L176">
        <f t="shared" si="4"/>
        <v>10</v>
      </c>
      <c r="M176" t="str">
        <f t="shared" si="5"/>
        <v>Normal</v>
      </c>
    </row>
    <row r="177" spans="1:13" x14ac:dyDescent="0.3">
      <c r="A177" s="1">
        <v>176</v>
      </c>
      <c r="B177" s="1" t="s">
        <v>186</v>
      </c>
      <c r="C177" s="1">
        <v>38</v>
      </c>
      <c r="D177" s="1" t="s">
        <v>10</v>
      </c>
      <c r="E177" s="1">
        <v>1</v>
      </c>
      <c r="F177" s="2">
        <v>45698</v>
      </c>
      <c r="G177" s="2">
        <v>45704</v>
      </c>
      <c r="H177" s="1">
        <v>3</v>
      </c>
      <c r="I177" s="1">
        <v>8103</v>
      </c>
      <c r="J177" t="str">
        <f>VLOOKUP(E177,Diagnosis!$A$2:$B$11,2,FALSE)</f>
        <v>Hypertension</v>
      </c>
      <c r="K177" t="str">
        <f>VLOOKUP(H177,Outcomes!$A$2:$B$4,2,)</f>
        <v>Deceased</v>
      </c>
      <c r="L177">
        <f t="shared" si="4"/>
        <v>6</v>
      </c>
      <c r="M177" t="str">
        <f t="shared" si="5"/>
        <v>Normal</v>
      </c>
    </row>
    <row r="178" spans="1:13" x14ac:dyDescent="0.3">
      <c r="A178" s="1">
        <v>177</v>
      </c>
      <c r="B178" s="1" t="s">
        <v>187</v>
      </c>
      <c r="C178" s="1">
        <v>44</v>
      </c>
      <c r="D178" s="1" t="s">
        <v>14</v>
      </c>
      <c r="E178" s="1">
        <v>8</v>
      </c>
      <c r="F178" s="2">
        <v>45812</v>
      </c>
      <c r="G178" s="2">
        <v>45816</v>
      </c>
      <c r="H178" s="1">
        <v>1</v>
      </c>
      <c r="I178" s="1">
        <v>8102</v>
      </c>
      <c r="J178" t="str">
        <f>VLOOKUP(E178,Diagnosis!$A$2:$B$11,2,FALSE)</f>
        <v>Arthritis</v>
      </c>
      <c r="K178" t="str">
        <f>VLOOKUP(H178,Outcomes!$A$2:$B$4,2,)</f>
        <v>Recovered</v>
      </c>
      <c r="L178">
        <f t="shared" si="4"/>
        <v>4</v>
      </c>
      <c r="M178" t="str">
        <f t="shared" si="5"/>
        <v>Normal</v>
      </c>
    </row>
    <row r="179" spans="1:13" x14ac:dyDescent="0.3">
      <c r="A179" s="1">
        <v>178</v>
      </c>
      <c r="B179" s="1" t="s">
        <v>188</v>
      </c>
      <c r="C179" s="1">
        <v>44</v>
      </c>
      <c r="D179" s="1" t="s">
        <v>14</v>
      </c>
      <c r="E179" s="1">
        <v>5</v>
      </c>
      <c r="F179" s="2">
        <v>45802</v>
      </c>
      <c r="G179" s="2">
        <v>45810</v>
      </c>
      <c r="H179" s="1">
        <v>1</v>
      </c>
      <c r="I179" s="1">
        <v>4490</v>
      </c>
      <c r="J179" t="str">
        <f>VLOOKUP(E179,Diagnosis!$A$2:$B$11,2,FALSE)</f>
        <v>Stroke</v>
      </c>
      <c r="K179" t="str">
        <f>VLOOKUP(H179,Outcomes!$A$2:$B$4,2,)</f>
        <v>Recovered</v>
      </c>
      <c r="L179">
        <f t="shared" si="4"/>
        <v>8</v>
      </c>
      <c r="M179" t="str">
        <f t="shared" si="5"/>
        <v>Normal</v>
      </c>
    </row>
    <row r="180" spans="1:13" x14ac:dyDescent="0.3">
      <c r="A180" s="1">
        <v>179</v>
      </c>
      <c r="B180" s="1" t="s">
        <v>189</v>
      </c>
      <c r="C180" s="1">
        <v>55</v>
      </c>
      <c r="D180" s="1" t="s">
        <v>14</v>
      </c>
      <c r="E180" s="1">
        <v>4</v>
      </c>
      <c r="F180" s="2">
        <v>45818</v>
      </c>
      <c r="G180" s="2">
        <v>45825</v>
      </c>
      <c r="H180" s="1">
        <v>1</v>
      </c>
      <c r="I180" s="1">
        <v>7886</v>
      </c>
      <c r="J180" t="str">
        <f>VLOOKUP(E180,Diagnosis!$A$2:$B$11,2,FALSE)</f>
        <v>Asthma</v>
      </c>
      <c r="K180" t="str">
        <f>VLOOKUP(H180,Outcomes!$A$2:$B$4,2,)</f>
        <v>Recovered</v>
      </c>
      <c r="L180">
        <f t="shared" si="4"/>
        <v>7</v>
      </c>
      <c r="M180" t="str">
        <f t="shared" si="5"/>
        <v>Normal</v>
      </c>
    </row>
    <row r="181" spans="1:13" x14ac:dyDescent="0.3">
      <c r="A181" s="1">
        <v>180</v>
      </c>
      <c r="B181" s="1" t="s">
        <v>190</v>
      </c>
      <c r="C181" s="1">
        <v>71</v>
      </c>
      <c r="D181" s="1" t="s">
        <v>14</v>
      </c>
      <c r="E181" s="1">
        <v>8</v>
      </c>
      <c r="F181" s="2">
        <v>45814</v>
      </c>
      <c r="G181" s="2">
        <v>45822</v>
      </c>
      <c r="H181" s="1">
        <v>3</v>
      </c>
      <c r="I181" s="1">
        <v>2327</v>
      </c>
      <c r="J181" t="str">
        <f>VLOOKUP(E181,Diagnosis!$A$2:$B$11,2,FALSE)</f>
        <v>Arthritis</v>
      </c>
      <c r="K181" t="str">
        <f>VLOOKUP(H181,Outcomes!$A$2:$B$4,2,)</f>
        <v>Deceased</v>
      </c>
      <c r="L181">
        <f t="shared" si="4"/>
        <v>8</v>
      </c>
      <c r="M181" t="str">
        <f t="shared" si="5"/>
        <v>Normal</v>
      </c>
    </row>
    <row r="182" spans="1:13" x14ac:dyDescent="0.3">
      <c r="A182" s="1">
        <v>181</v>
      </c>
      <c r="B182" s="1" t="s">
        <v>191</v>
      </c>
      <c r="C182" s="1">
        <v>89</v>
      </c>
      <c r="D182" s="1" t="s">
        <v>10</v>
      </c>
      <c r="E182" s="1">
        <v>7</v>
      </c>
      <c r="F182" s="2">
        <v>45798</v>
      </c>
      <c r="G182" s="2">
        <v>45804</v>
      </c>
      <c r="H182" s="1">
        <v>1</v>
      </c>
      <c r="I182" s="1">
        <v>9221</v>
      </c>
      <c r="J182" t="str">
        <f>VLOOKUP(E182,Diagnosis!$A$2:$B$11,2,FALSE)</f>
        <v>Cancer</v>
      </c>
      <c r="K182" t="str">
        <f>VLOOKUP(H182,Outcomes!$A$2:$B$4,2,)</f>
        <v>Recovered</v>
      </c>
      <c r="L182">
        <f t="shared" si="4"/>
        <v>6</v>
      </c>
      <c r="M182" t="str">
        <f t="shared" si="5"/>
        <v>Normal</v>
      </c>
    </row>
    <row r="183" spans="1:13" x14ac:dyDescent="0.3">
      <c r="A183" s="1">
        <v>182</v>
      </c>
      <c r="B183" s="1" t="s">
        <v>192</v>
      </c>
      <c r="C183" s="1">
        <v>42</v>
      </c>
      <c r="D183" s="1" t="s">
        <v>14</v>
      </c>
      <c r="E183" s="1">
        <v>2</v>
      </c>
      <c r="F183" s="2">
        <v>45703</v>
      </c>
      <c r="G183" s="2">
        <v>45733</v>
      </c>
      <c r="H183" s="1">
        <v>2</v>
      </c>
      <c r="I183" s="1">
        <v>8904</v>
      </c>
      <c r="J183" t="str">
        <f>VLOOKUP(E183,Diagnosis!$A$2:$B$11,2,FALSE)</f>
        <v>Diabetes</v>
      </c>
      <c r="K183" t="str">
        <f>VLOOKUP(H183,Outcomes!$A$2:$B$4,2,)</f>
        <v>Complicated</v>
      </c>
      <c r="L183">
        <f t="shared" si="4"/>
        <v>30</v>
      </c>
      <c r="M183" t="str">
        <f t="shared" si="5"/>
        <v>Normal</v>
      </c>
    </row>
    <row r="184" spans="1:13" x14ac:dyDescent="0.3">
      <c r="A184" s="1">
        <v>183</v>
      </c>
      <c r="B184" s="1" t="s">
        <v>193</v>
      </c>
      <c r="C184" s="1">
        <v>80</v>
      </c>
      <c r="D184" s="1" t="s">
        <v>14</v>
      </c>
      <c r="E184" s="1">
        <v>1</v>
      </c>
      <c r="F184" s="2">
        <v>45692</v>
      </c>
      <c r="G184" s="2">
        <v>45775</v>
      </c>
      <c r="H184" s="1">
        <v>3</v>
      </c>
      <c r="I184" s="1">
        <v>5310</v>
      </c>
      <c r="J184" t="str">
        <f>VLOOKUP(E184,Diagnosis!$A$2:$B$11,2,FALSE)</f>
        <v>Hypertension</v>
      </c>
      <c r="K184" t="str">
        <f>VLOOKUP(H184,Outcomes!$A$2:$B$4,2,)</f>
        <v>Deceased</v>
      </c>
      <c r="L184">
        <f t="shared" si="4"/>
        <v>83</v>
      </c>
      <c r="M184" t="str">
        <f t="shared" si="5"/>
        <v>Normal</v>
      </c>
    </row>
    <row r="185" spans="1:13" x14ac:dyDescent="0.3">
      <c r="A185" s="1">
        <v>184</v>
      </c>
      <c r="B185" s="1" t="s">
        <v>194</v>
      </c>
      <c r="C185" s="1">
        <v>61</v>
      </c>
      <c r="D185" s="1" t="s">
        <v>10</v>
      </c>
      <c r="E185" s="1">
        <v>4</v>
      </c>
      <c r="F185" s="2">
        <v>45791</v>
      </c>
      <c r="G185" s="2">
        <v>45812</v>
      </c>
      <c r="H185" s="1">
        <v>3</v>
      </c>
      <c r="I185" s="1">
        <v>5300</v>
      </c>
      <c r="J185" t="str">
        <f>VLOOKUP(E185,Diagnosis!$A$2:$B$11,2,FALSE)</f>
        <v>Asthma</v>
      </c>
      <c r="K185" t="str">
        <f>VLOOKUP(H185,Outcomes!$A$2:$B$4,2,)</f>
        <v>Deceased</v>
      </c>
      <c r="L185">
        <f t="shared" si="4"/>
        <v>21</v>
      </c>
      <c r="M185" t="str">
        <f t="shared" si="5"/>
        <v>Normal</v>
      </c>
    </row>
    <row r="186" spans="1:13" x14ac:dyDescent="0.3">
      <c r="A186" s="1">
        <v>185</v>
      </c>
      <c r="B186" s="1" t="s">
        <v>195</v>
      </c>
      <c r="C186" s="1">
        <v>68</v>
      </c>
      <c r="D186" s="1" t="s">
        <v>10</v>
      </c>
      <c r="E186" s="1">
        <v>8</v>
      </c>
      <c r="F186" s="2">
        <v>45739</v>
      </c>
      <c r="G186" s="2">
        <v>45777</v>
      </c>
      <c r="H186" s="1">
        <v>3</v>
      </c>
      <c r="I186" s="1">
        <v>8722</v>
      </c>
      <c r="J186" t="str">
        <f>VLOOKUP(E186,Diagnosis!$A$2:$B$11,2,FALSE)</f>
        <v>Arthritis</v>
      </c>
      <c r="K186" t="str">
        <f>VLOOKUP(H186,Outcomes!$A$2:$B$4,2,)</f>
        <v>Deceased</v>
      </c>
      <c r="L186">
        <f t="shared" si="4"/>
        <v>38</v>
      </c>
      <c r="M186" t="str">
        <f t="shared" si="5"/>
        <v>Normal</v>
      </c>
    </row>
    <row r="187" spans="1:13" x14ac:dyDescent="0.3">
      <c r="A187" s="1">
        <v>186</v>
      </c>
      <c r="B187" s="1" t="s">
        <v>196</v>
      </c>
      <c r="C187" s="1">
        <v>78</v>
      </c>
      <c r="D187" s="1" t="s">
        <v>14</v>
      </c>
      <c r="E187" s="1">
        <v>2</v>
      </c>
      <c r="F187" s="2">
        <v>45772</v>
      </c>
      <c r="G187" s="2">
        <v>45777</v>
      </c>
      <c r="H187" s="1">
        <v>3</v>
      </c>
      <c r="I187" s="1">
        <v>9218</v>
      </c>
      <c r="J187" t="str">
        <f>VLOOKUP(E187,Diagnosis!$A$2:$B$11,2,FALSE)</f>
        <v>Diabetes</v>
      </c>
      <c r="K187" t="str">
        <f>VLOOKUP(H187,Outcomes!$A$2:$B$4,2,)</f>
        <v>Deceased</v>
      </c>
      <c r="L187">
        <f t="shared" si="4"/>
        <v>5</v>
      </c>
      <c r="M187" t="str">
        <f t="shared" si="5"/>
        <v>Normal</v>
      </c>
    </row>
    <row r="188" spans="1:13" x14ac:dyDescent="0.3">
      <c r="A188" s="1">
        <v>187</v>
      </c>
      <c r="B188" s="1" t="s">
        <v>197</v>
      </c>
      <c r="C188" s="1">
        <v>81</v>
      </c>
      <c r="D188" s="1" t="s">
        <v>14</v>
      </c>
      <c r="E188" s="1">
        <v>3</v>
      </c>
      <c r="F188" s="2">
        <v>45704</v>
      </c>
      <c r="G188" s="2">
        <v>45707</v>
      </c>
      <c r="H188" s="1">
        <v>2</v>
      </c>
      <c r="I188" s="1">
        <v>9776</v>
      </c>
      <c r="J188" t="str">
        <f>VLOOKUP(E188,Diagnosis!$A$2:$B$11,2,FALSE)</f>
        <v>Heart Disease</v>
      </c>
      <c r="K188" t="str">
        <f>VLOOKUP(H188,Outcomes!$A$2:$B$4,2,)</f>
        <v>Complicated</v>
      </c>
      <c r="L188">
        <f t="shared" si="4"/>
        <v>3</v>
      </c>
      <c r="M188" t="str">
        <f t="shared" si="5"/>
        <v>Normal</v>
      </c>
    </row>
    <row r="189" spans="1:13" x14ac:dyDescent="0.3">
      <c r="A189" s="1">
        <v>188</v>
      </c>
      <c r="B189" s="1" t="s">
        <v>198</v>
      </c>
      <c r="C189" s="1">
        <v>61</v>
      </c>
      <c r="D189" s="1" t="s">
        <v>14</v>
      </c>
      <c r="E189" s="1">
        <v>1</v>
      </c>
      <c r="F189" s="2">
        <v>45810</v>
      </c>
      <c r="G189" s="2">
        <v>45815</v>
      </c>
      <c r="H189" s="1">
        <v>3</v>
      </c>
      <c r="I189" s="1">
        <v>5675</v>
      </c>
      <c r="J189" t="str">
        <f>VLOOKUP(E189,Diagnosis!$A$2:$B$11,2,FALSE)</f>
        <v>Hypertension</v>
      </c>
      <c r="K189" t="str">
        <f>VLOOKUP(H189,Outcomes!$A$2:$B$4,2,)</f>
        <v>Deceased</v>
      </c>
      <c r="L189">
        <f t="shared" si="4"/>
        <v>5</v>
      </c>
      <c r="M189" t="str">
        <f t="shared" si="5"/>
        <v>Normal</v>
      </c>
    </row>
    <row r="190" spans="1:13" x14ac:dyDescent="0.3">
      <c r="A190" s="1">
        <v>189</v>
      </c>
      <c r="B190" s="1" t="s">
        <v>199</v>
      </c>
      <c r="C190" s="1">
        <v>33</v>
      </c>
      <c r="D190" s="1" t="s">
        <v>14</v>
      </c>
      <c r="E190" s="1">
        <v>1</v>
      </c>
      <c r="F190" s="2">
        <v>45667</v>
      </c>
      <c r="G190" s="2">
        <v>45674</v>
      </c>
      <c r="H190" s="1">
        <v>3</v>
      </c>
      <c r="I190" s="1">
        <v>5054</v>
      </c>
      <c r="J190" t="str">
        <f>VLOOKUP(E190,Diagnosis!$A$2:$B$11,2,FALSE)</f>
        <v>Hypertension</v>
      </c>
      <c r="K190" t="str">
        <f>VLOOKUP(H190,Outcomes!$A$2:$B$4,2,)</f>
        <v>Deceased</v>
      </c>
      <c r="L190">
        <f t="shared" si="4"/>
        <v>7</v>
      </c>
      <c r="M190" t="str">
        <f t="shared" si="5"/>
        <v>Normal</v>
      </c>
    </row>
    <row r="191" spans="1:13" x14ac:dyDescent="0.3">
      <c r="A191" s="1">
        <v>190</v>
      </c>
      <c r="B191" s="1" t="s">
        <v>200</v>
      </c>
      <c r="C191" s="1">
        <v>59</v>
      </c>
      <c r="D191" s="1" t="s">
        <v>14</v>
      </c>
      <c r="E191" s="1">
        <v>3</v>
      </c>
      <c r="F191" s="2">
        <v>45713</v>
      </c>
      <c r="G191" s="2">
        <v>45834</v>
      </c>
      <c r="H191" s="1">
        <v>1</v>
      </c>
      <c r="I191" s="1">
        <v>7383</v>
      </c>
      <c r="J191" t="str">
        <f>VLOOKUP(E191,Diagnosis!$A$2:$B$11,2,FALSE)</f>
        <v>Heart Disease</v>
      </c>
      <c r="K191" t="str">
        <f>VLOOKUP(H191,Outcomes!$A$2:$B$4,2,)</f>
        <v>Recovered</v>
      </c>
      <c r="L191">
        <f t="shared" si="4"/>
        <v>121</v>
      </c>
      <c r="M191" t="str">
        <f t="shared" si="5"/>
        <v>Normal</v>
      </c>
    </row>
    <row r="192" spans="1:13" x14ac:dyDescent="0.3">
      <c r="A192" s="1">
        <v>191</v>
      </c>
      <c r="B192" s="1" t="s">
        <v>201</v>
      </c>
      <c r="C192" s="1">
        <v>66</v>
      </c>
      <c r="D192" s="1" t="s">
        <v>14</v>
      </c>
      <c r="E192" s="1">
        <v>5</v>
      </c>
      <c r="F192" s="2">
        <v>45687</v>
      </c>
      <c r="G192" s="2">
        <v>45779</v>
      </c>
      <c r="H192" s="1">
        <v>3</v>
      </c>
      <c r="I192" s="1">
        <v>9585</v>
      </c>
      <c r="J192" t="str">
        <f>VLOOKUP(E192,Diagnosis!$A$2:$B$11,2,FALSE)</f>
        <v>Stroke</v>
      </c>
      <c r="K192" t="str">
        <f>VLOOKUP(H192,Outcomes!$A$2:$B$4,2,)</f>
        <v>Deceased</v>
      </c>
      <c r="L192">
        <f t="shared" si="4"/>
        <v>92</v>
      </c>
      <c r="M192" t="str">
        <f t="shared" si="5"/>
        <v>Normal</v>
      </c>
    </row>
    <row r="193" spans="1:13" x14ac:dyDescent="0.3">
      <c r="A193" s="1">
        <v>192</v>
      </c>
      <c r="B193" s="1" t="s">
        <v>202</v>
      </c>
      <c r="C193" s="1">
        <v>52</v>
      </c>
      <c r="D193" s="1" t="s">
        <v>10</v>
      </c>
      <c r="E193" s="1">
        <v>3</v>
      </c>
      <c r="F193" s="2">
        <v>45766</v>
      </c>
      <c r="G193" s="2">
        <v>45769</v>
      </c>
      <c r="H193" s="1">
        <v>2</v>
      </c>
      <c r="I193" s="1">
        <v>9970</v>
      </c>
      <c r="J193" t="str">
        <f>VLOOKUP(E193,Diagnosis!$A$2:$B$11,2,FALSE)</f>
        <v>Heart Disease</v>
      </c>
      <c r="K193" t="str">
        <f>VLOOKUP(H193,Outcomes!$A$2:$B$4,2,)</f>
        <v>Complicated</v>
      </c>
      <c r="L193">
        <f t="shared" si="4"/>
        <v>3</v>
      </c>
      <c r="M193" t="str">
        <f t="shared" si="5"/>
        <v>Normal</v>
      </c>
    </row>
    <row r="194" spans="1:13" x14ac:dyDescent="0.3">
      <c r="A194" s="1">
        <v>193</v>
      </c>
      <c r="B194" s="1" t="s">
        <v>203</v>
      </c>
      <c r="C194" s="1">
        <v>68</v>
      </c>
      <c r="D194" s="1" t="s">
        <v>14</v>
      </c>
      <c r="E194" s="1">
        <v>1</v>
      </c>
      <c r="F194" s="2">
        <v>45662</v>
      </c>
      <c r="G194" s="2">
        <v>45708</v>
      </c>
      <c r="H194" s="1">
        <v>2</v>
      </c>
      <c r="I194" s="1">
        <v>4143</v>
      </c>
      <c r="J194" t="str">
        <f>VLOOKUP(E194,Diagnosis!$A$2:$B$11,2,FALSE)</f>
        <v>Hypertension</v>
      </c>
      <c r="K194" t="str">
        <f>VLOOKUP(H194,Outcomes!$A$2:$B$4,2,)</f>
        <v>Complicated</v>
      </c>
      <c r="L194">
        <f t="shared" si="4"/>
        <v>46</v>
      </c>
      <c r="M194" t="str">
        <f t="shared" si="5"/>
        <v>Normal</v>
      </c>
    </row>
    <row r="195" spans="1:13" x14ac:dyDescent="0.3">
      <c r="A195" s="1">
        <v>194</v>
      </c>
      <c r="B195" s="1" t="s">
        <v>204</v>
      </c>
      <c r="C195" s="1">
        <v>74</v>
      </c>
      <c r="D195" s="1" t="s">
        <v>14</v>
      </c>
      <c r="E195" s="1">
        <v>1</v>
      </c>
      <c r="F195" s="2">
        <v>45776</v>
      </c>
      <c r="G195" s="2">
        <v>45835</v>
      </c>
      <c r="H195" s="1">
        <v>2</v>
      </c>
      <c r="I195" s="1">
        <v>7207</v>
      </c>
      <c r="J195" t="str">
        <f>VLOOKUP(E195,Diagnosis!$A$2:$B$11,2,FALSE)</f>
        <v>Hypertension</v>
      </c>
      <c r="K195" t="str">
        <f>VLOOKUP(H195,Outcomes!$A$2:$B$4,2,)</f>
        <v>Complicated</v>
      </c>
      <c r="L195">
        <f t="shared" ref="L195:L201" si="6">DATEDIF(F195,G195,"d")</f>
        <v>59</v>
      </c>
      <c r="M195" t="str">
        <f t="shared" ref="M195:M201" si="7">IF(VLOOKUP(A195,$A$2:$D$201,3,FALSE)&gt;120,"High","Normal")</f>
        <v>Normal</v>
      </c>
    </row>
    <row r="196" spans="1:13" x14ac:dyDescent="0.3">
      <c r="A196" s="1">
        <v>195</v>
      </c>
      <c r="B196" s="1" t="s">
        <v>205</v>
      </c>
      <c r="C196" s="1">
        <v>44</v>
      </c>
      <c r="D196" s="1" t="s">
        <v>10</v>
      </c>
      <c r="E196" s="1">
        <v>8</v>
      </c>
      <c r="F196" s="2">
        <v>45690</v>
      </c>
      <c r="G196" s="2">
        <v>45767</v>
      </c>
      <c r="H196" s="1">
        <v>2</v>
      </c>
      <c r="I196" s="1">
        <v>9245</v>
      </c>
      <c r="J196" t="str">
        <f>VLOOKUP(E196,Diagnosis!$A$2:$B$11,2,FALSE)</f>
        <v>Arthritis</v>
      </c>
      <c r="K196" t="str">
        <f>VLOOKUP(H196,Outcomes!$A$2:$B$4,2,)</f>
        <v>Complicated</v>
      </c>
      <c r="L196">
        <f t="shared" si="6"/>
        <v>77</v>
      </c>
      <c r="M196" t="str">
        <f t="shared" si="7"/>
        <v>Normal</v>
      </c>
    </row>
    <row r="197" spans="1:13" x14ac:dyDescent="0.3">
      <c r="A197" s="1">
        <v>196</v>
      </c>
      <c r="B197" s="1" t="s">
        <v>206</v>
      </c>
      <c r="C197" s="1">
        <v>72</v>
      </c>
      <c r="D197" s="1" t="s">
        <v>10</v>
      </c>
      <c r="E197" s="1">
        <v>10</v>
      </c>
      <c r="F197" s="2">
        <v>45775</v>
      </c>
      <c r="G197" s="2">
        <v>45779</v>
      </c>
      <c r="H197" s="1">
        <v>3</v>
      </c>
      <c r="I197" s="1">
        <v>3311</v>
      </c>
      <c r="J197" t="str">
        <f>VLOOKUP(E197,Diagnosis!$A$2:$B$11,2,FALSE)</f>
        <v>Liver Disease</v>
      </c>
      <c r="K197" t="str">
        <f>VLOOKUP(H197,Outcomes!$A$2:$B$4,2,)</f>
        <v>Deceased</v>
      </c>
      <c r="L197">
        <f t="shared" si="6"/>
        <v>4</v>
      </c>
      <c r="M197" t="str">
        <f t="shared" si="7"/>
        <v>Normal</v>
      </c>
    </row>
    <row r="198" spans="1:13" x14ac:dyDescent="0.3">
      <c r="A198" s="1">
        <v>197</v>
      </c>
      <c r="B198" s="1" t="s">
        <v>207</v>
      </c>
      <c r="C198" s="1">
        <v>58</v>
      </c>
      <c r="D198" s="1" t="s">
        <v>10</v>
      </c>
      <c r="E198" s="1">
        <v>2</v>
      </c>
      <c r="F198" s="2">
        <v>45722</v>
      </c>
      <c r="G198" s="2">
        <v>45846</v>
      </c>
      <c r="H198" s="1">
        <v>3</v>
      </c>
      <c r="I198" s="1">
        <v>5191</v>
      </c>
      <c r="J198" t="str">
        <f>VLOOKUP(E198,Diagnosis!$A$2:$B$11,2,FALSE)</f>
        <v>Diabetes</v>
      </c>
      <c r="K198" t="str">
        <f>VLOOKUP(H198,Outcomes!$A$2:$B$4,2,)</f>
        <v>Deceased</v>
      </c>
      <c r="L198">
        <f t="shared" si="6"/>
        <v>124</v>
      </c>
      <c r="M198" t="str">
        <f t="shared" si="7"/>
        <v>Normal</v>
      </c>
    </row>
    <row r="199" spans="1:13" x14ac:dyDescent="0.3">
      <c r="A199" s="1">
        <v>198</v>
      </c>
      <c r="B199" s="1" t="s">
        <v>208</v>
      </c>
      <c r="C199" s="1">
        <v>65</v>
      </c>
      <c r="D199" s="1" t="s">
        <v>10</v>
      </c>
      <c r="E199" s="1">
        <v>3</v>
      </c>
      <c r="F199" s="2">
        <v>45803</v>
      </c>
      <c r="G199" s="2">
        <v>45812</v>
      </c>
      <c r="H199" s="1">
        <v>2</v>
      </c>
      <c r="I199" s="1">
        <v>8957</v>
      </c>
      <c r="J199" t="str">
        <f>VLOOKUP(E199,Diagnosis!$A$2:$B$11,2,FALSE)</f>
        <v>Heart Disease</v>
      </c>
      <c r="K199" t="str">
        <f>VLOOKUP(H199,Outcomes!$A$2:$B$4,2,)</f>
        <v>Complicated</v>
      </c>
      <c r="L199">
        <f t="shared" si="6"/>
        <v>9</v>
      </c>
      <c r="M199" t="str">
        <f t="shared" si="7"/>
        <v>Normal</v>
      </c>
    </row>
    <row r="200" spans="1:13" x14ac:dyDescent="0.3">
      <c r="A200" s="1">
        <v>199</v>
      </c>
      <c r="B200" s="1" t="s">
        <v>209</v>
      </c>
      <c r="C200" s="1">
        <v>42</v>
      </c>
      <c r="D200" s="1" t="s">
        <v>14</v>
      </c>
      <c r="E200" s="1">
        <v>2</v>
      </c>
      <c r="F200" s="2">
        <v>45834</v>
      </c>
      <c r="G200" s="2">
        <v>45843</v>
      </c>
      <c r="H200" s="1">
        <v>2</v>
      </c>
      <c r="I200" s="1">
        <v>4538</v>
      </c>
      <c r="J200" t="str">
        <f>VLOOKUP(E200,Diagnosis!$A$2:$B$11,2,FALSE)</f>
        <v>Diabetes</v>
      </c>
      <c r="K200" t="str">
        <f>VLOOKUP(H200,Outcomes!$A$2:$B$4,2,)</f>
        <v>Complicated</v>
      </c>
      <c r="L200">
        <f t="shared" si="6"/>
        <v>9</v>
      </c>
      <c r="M200" t="str">
        <f t="shared" si="7"/>
        <v>Normal</v>
      </c>
    </row>
    <row r="201" spans="1:13" x14ac:dyDescent="0.3">
      <c r="A201" s="1">
        <v>200</v>
      </c>
      <c r="B201" s="1" t="s">
        <v>210</v>
      </c>
      <c r="C201" s="1">
        <v>61</v>
      </c>
      <c r="D201" s="1" t="s">
        <v>14</v>
      </c>
      <c r="E201" s="1">
        <v>3</v>
      </c>
      <c r="F201" s="2">
        <v>45668</v>
      </c>
      <c r="G201" s="2">
        <v>45725</v>
      </c>
      <c r="H201" s="1">
        <v>3</v>
      </c>
      <c r="I201" s="1">
        <v>5983</v>
      </c>
      <c r="J201" t="str">
        <f>VLOOKUP(E201,Diagnosis!$A$2:$B$11,2,FALSE)</f>
        <v>Heart Disease</v>
      </c>
      <c r="K201" t="str">
        <f>VLOOKUP(H201,Outcomes!$A$2:$B$4,2,)</f>
        <v>Deceased</v>
      </c>
      <c r="L201">
        <f t="shared" si="6"/>
        <v>57</v>
      </c>
      <c r="M201" t="str">
        <f t="shared" si="7"/>
        <v>Normal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1D25-0392-4FDC-9B10-3D88454456D9}">
  <dimension ref="A1:E201"/>
  <sheetViews>
    <sheetView tabSelected="1" workbookViewId="0">
      <selection activeCell="I16" sqref="I16"/>
    </sheetView>
  </sheetViews>
  <sheetFormatPr defaultRowHeight="14.4" x14ac:dyDescent="0.3"/>
  <sheetData>
    <row r="1" spans="1:5" x14ac:dyDescent="0.3">
      <c r="A1" t="s">
        <v>211</v>
      </c>
      <c r="B1" t="s">
        <v>0</v>
      </c>
      <c r="C1" t="s">
        <v>212</v>
      </c>
      <c r="D1" t="s">
        <v>213</v>
      </c>
      <c r="E1" t="s">
        <v>214</v>
      </c>
    </row>
    <row r="2" spans="1:5" x14ac:dyDescent="0.3">
      <c r="A2">
        <v>1</v>
      </c>
      <c r="B2">
        <v>196</v>
      </c>
      <c r="C2" t="s">
        <v>215</v>
      </c>
      <c r="D2">
        <v>89.7</v>
      </c>
      <c r="E2" t="s">
        <v>216</v>
      </c>
    </row>
    <row r="3" spans="1:5" x14ac:dyDescent="0.3">
      <c r="A3">
        <v>2</v>
      </c>
      <c r="B3">
        <v>165</v>
      </c>
      <c r="C3" t="s">
        <v>217</v>
      </c>
      <c r="D3">
        <v>270.2</v>
      </c>
      <c r="E3" t="s">
        <v>218</v>
      </c>
    </row>
    <row r="4" spans="1:5" x14ac:dyDescent="0.3">
      <c r="A4">
        <v>3</v>
      </c>
      <c r="B4">
        <v>182</v>
      </c>
      <c r="C4" t="s">
        <v>215</v>
      </c>
      <c r="D4">
        <v>268</v>
      </c>
      <c r="E4" t="s">
        <v>219</v>
      </c>
    </row>
    <row r="5" spans="1:5" x14ac:dyDescent="0.3">
      <c r="A5">
        <v>4</v>
      </c>
      <c r="B5">
        <v>142</v>
      </c>
      <c r="C5" t="s">
        <v>217</v>
      </c>
      <c r="D5">
        <v>57.3</v>
      </c>
      <c r="E5" t="s">
        <v>216</v>
      </c>
    </row>
    <row r="6" spans="1:5" x14ac:dyDescent="0.3">
      <c r="A6">
        <v>5</v>
      </c>
      <c r="B6">
        <v>55</v>
      </c>
      <c r="C6" t="s">
        <v>220</v>
      </c>
      <c r="D6">
        <v>256.5</v>
      </c>
      <c r="E6" t="s">
        <v>221</v>
      </c>
    </row>
    <row r="7" spans="1:5" x14ac:dyDescent="0.3">
      <c r="A7">
        <v>6</v>
      </c>
      <c r="B7">
        <v>176</v>
      </c>
      <c r="C7" t="s">
        <v>222</v>
      </c>
      <c r="D7">
        <v>82.2</v>
      </c>
      <c r="E7" t="s">
        <v>221</v>
      </c>
    </row>
    <row r="8" spans="1:5" x14ac:dyDescent="0.3">
      <c r="A8">
        <v>7</v>
      </c>
      <c r="B8">
        <v>7</v>
      </c>
      <c r="C8" t="s">
        <v>215</v>
      </c>
      <c r="D8">
        <v>133.80000000000001</v>
      </c>
      <c r="E8" t="s">
        <v>216</v>
      </c>
    </row>
    <row r="9" spans="1:5" x14ac:dyDescent="0.3">
      <c r="A9">
        <v>8</v>
      </c>
      <c r="B9">
        <v>74</v>
      </c>
      <c r="C9" t="s">
        <v>223</v>
      </c>
      <c r="D9">
        <v>235.9</v>
      </c>
      <c r="E9" t="s">
        <v>219</v>
      </c>
    </row>
    <row r="10" spans="1:5" x14ac:dyDescent="0.3">
      <c r="A10">
        <v>9</v>
      </c>
      <c r="B10">
        <v>7</v>
      </c>
      <c r="C10" t="s">
        <v>223</v>
      </c>
      <c r="D10">
        <v>90.2</v>
      </c>
      <c r="E10" t="s">
        <v>224</v>
      </c>
    </row>
    <row r="11" spans="1:5" x14ac:dyDescent="0.3">
      <c r="A11">
        <v>10</v>
      </c>
      <c r="B11">
        <v>161</v>
      </c>
      <c r="C11" t="s">
        <v>225</v>
      </c>
      <c r="D11">
        <v>254.5</v>
      </c>
      <c r="E11" t="s">
        <v>218</v>
      </c>
    </row>
    <row r="12" spans="1:5" x14ac:dyDescent="0.3">
      <c r="A12">
        <v>11</v>
      </c>
      <c r="B12">
        <v>151</v>
      </c>
      <c r="C12" t="s">
        <v>217</v>
      </c>
      <c r="D12">
        <v>258</v>
      </c>
      <c r="E12" t="s">
        <v>221</v>
      </c>
    </row>
    <row r="13" spans="1:5" x14ac:dyDescent="0.3">
      <c r="A13">
        <v>12</v>
      </c>
      <c r="B13">
        <v>85</v>
      </c>
      <c r="C13" t="s">
        <v>215</v>
      </c>
      <c r="D13">
        <v>176.9</v>
      </c>
      <c r="E13" t="s">
        <v>224</v>
      </c>
    </row>
    <row r="14" spans="1:5" x14ac:dyDescent="0.3">
      <c r="A14">
        <v>13</v>
      </c>
      <c r="B14">
        <v>147</v>
      </c>
      <c r="C14" t="s">
        <v>225</v>
      </c>
      <c r="D14">
        <v>51.6</v>
      </c>
      <c r="E14" t="s">
        <v>216</v>
      </c>
    </row>
    <row r="15" spans="1:5" x14ac:dyDescent="0.3">
      <c r="A15">
        <v>14</v>
      </c>
      <c r="B15">
        <v>112</v>
      </c>
      <c r="C15" t="s">
        <v>215</v>
      </c>
      <c r="D15">
        <v>121.8</v>
      </c>
      <c r="E15" t="s">
        <v>224</v>
      </c>
    </row>
    <row r="16" spans="1:5" x14ac:dyDescent="0.3">
      <c r="A16">
        <v>15</v>
      </c>
      <c r="B16">
        <v>125</v>
      </c>
      <c r="C16" t="s">
        <v>217</v>
      </c>
      <c r="D16">
        <v>204.2</v>
      </c>
      <c r="E16" t="s">
        <v>226</v>
      </c>
    </row>
    <row r="17" spans="1:5" x14ac:dyDescent="0.3">
      <c r="A17">
        <v>16</v>
      </c>
      <c r="B17">
        <v>147</v>
      </c>
      <c r="C17" t="s">
        <v>223</v>
      </c>
      <c r="D17">
        <v>295.3</v>
      </c>
      <c r="E17" t="s">
        <v>221</v>
      </c>
    </row>
    <row r="18" spans="1:5" x14ac:dyDescent="0.3">
      <c r="A18">
        <v>17</v>
      </c>
      <c r="B18">
        <v>36</v>
      </c>
      <c r="C18" t="s">
        <v>220</v>
      </c>
      <c r="D18">
        <v>208</v>
      </c>
      <c r="E18" t="s">
        <v>216</v>
      </c>
    </row>
    <row r="19" spans="1:5" x14ac:dyDescent="0.3">
      <c r="A19">
        <v>18</v>
      </c>
      <c r="B19">
        <v>29</v>
      </c>
      <c r="C19" t="s">
        <v>223</v>
      </c>
      <c r="D19">
        <v>115</v>
      </c>
      <c r="E19" t="s">
        <v>218</v>
      </c>
    </row>
    <row r="20" spans="1:5" x14ac:dyDescent="0.3">
      <c r="A20">
        <v>19</v>
      </c>
      <c r="B20">
        <v>188</v>
      </c>
      <c r="C20" t="s">
        <v>225</v>
      </c>
      <c r="D20">
        <v>208.5</v>
      </c>
      <c r="E20" t="s">
        <v>219</v>
      </c>
    </row>
    <row r="21" spans="1:5" x14ac:dyDescent="0.3">
      <c r="A21">
        <v>20</v>
      </c>
      <c r="B21">
        <v>82</v>
      </c>
      <c r="C21" t="s">
        <v>222</v>
      </c>
      <c r="D21">
        <v>185</v>
      </c>
      <c r="E21" t="s">
        <v>216</v>
      </c>
    </row>
    <row r="22" spans="1:5" x14ac:dyDescent="0.3">
      <c r="A22">
        <v>21</v>
      </c>
      <c r="B22">
        <v>2</v>
      </c>
      <c r="C22" t="s">
        <v>220</v>
      </c>
      <c r="D22">
        <v>245</v>
      </c>
      <c r="E22" t="s">
        <v>218</v>
      </c>
    </row>
    <row r="23" spans="1:5" x14ac:dyDescent="0.3">
      <c r="A23">
        <v>22</v>
      </c>
      <c r="B23">
        <v>129</v>
      </c>
      <c r="C23" t="s">
        <v>225</v>
      </c>
      <c r="D23">
        <v>76.7</v>
      </c>
      <c r="E23" t="s">
        <v>219</v>
      </c>
    </row>
    <row r="24" spans="1:5" x14ac:dyDescent="0.3">
      <c r="A24">
        <v>23</v>
      </c>
      <c r="B24">
        <v>47</v>
      </c>
      <c r="C24" t="s">
        <v>217</v>
      </c>
      <c r="D24">
        <v>240.3</v>
      </c>
      <c r="E24" t="s">
        <v>219</v>
      </c>
    </row>
    <row r="25" spans="1:5" x14ac:dyDescent="0.3">
      <c r="A25">
        <v>24</v>
      </c>
      <c r="B25">
        <v>197</v>
      </c>
      <c r="C25" t="s">
        <v>220</v>
      </c>
      <c r="D25">
        <v>185.3</v>
      </c>
      <c r="E25" t="s">
        <v>216</v>
      </c>
    </row>
    <row r="26" spans="1:5" x14ac:dyDescent="0.3">
      <c r="A26">
        <v>25</v>
      </c>
      <c r="B26">
        <v>148</v>
      </c>
      <c r="C26" t="s">
        <v>225</v>
      </c>
      <c r="D26">
        <v>290.7</v>
      </c>
      <c r="E26" t="s">
        <v>224</v>
      </c>
    </row>
    <row r="27" spans="1:5" x14ac:dyDescent="0.3">
      <c r="A27">
        <v>26</v>
      </c>
      <c r="B27">
        <v>11</v>
      </c>
      <c r="C27" t="s">
        <v>217</v>
      </c>
      <c r="D27">
        <v>135.5</v>
      </c>
      <c r="E27" t="s">
        <v>224</v>
      </c>
    </row>
    <row r="28" spans="1:5" x14ac:dyDescent="0.3">
      <c r="A28">
        <v>27</v>
      </c>
      <c r="B28">
        <v>130</v>
      </c>
      <c r="C28" t="s">
        <v>223</v>
      </c>
      <c r="D28">
        <v>208.2</v>
      </c>
      <c r="E28" t="s">
        <v>219</v>
      </c>
    </row>
    <row r="29" spans="1:5" x14ac:dyDescent="0.3">
      <c r="A29">
        <v>28</v>
      </c>
      <c r="B29">
        <v>195</v>
      </c>
      <c r="C29" t="s">
        <v>222</v>
      </c>
      <c r="D29">
        <v>283</v>
      </c>
      <c r="E29" t="s">
        <v>224</v>
      </c>
    </row>
    <row r="30" spans="1:5" x14ac:dyDescent="0.3">
      <c r="A30">
        <v>29</v>
      </c>
      <c r="B30">
        <v>119</v>
      </c>
      <c r="C30" t="s">
        <v>217</v>
      </c>
      <c r="D30">
        <v>75.599999999999994</v>
      </c>
      <c r="E30" t="s">
        <v>226</v>
      </c>
    </row>
    <row r="31" spans="1:5" x14ac:dyDescent="0.3">
      <c r="A31">
        <v>30</v>
      </c>
      <c r="B31">
        <v>140</v>
      </c>
      <c r="C31" t="s">
        <v>215</v>
      </c>
      <c r="D31">
        <v>284.3</v>
      </c>
      <c r="E31" t="s">
        <v>219</v>
      </c>
    </row>
    <row r="32" spans="1:5" x14ac:dyDescent="0.3">
      <c r="A32">
        <v>31</v>
      </c>
      <c r="B32">
        <v>20</v>
      </c>
      <c r="C32" t="s">
        <v>217</v>
      </c>
      <c r="D32">
        <v>222</v>
      </c>
      <c r="E32" t="s">
        <v>219</v>
      </c>
    </row>
    <row r="33" spans="1:5" x14ac:dyDescent="0.3">
      <c r="A33">
        <v>32</v>
      </c>
      <c r="B33">
        <v>5</v>
      </c>
      <c r="C33" t="s">
        <v>217</v>
      </c>
      <c r="D33">
        <v>67</v>
      </c>
      <c r="E33" t="s">
        <v>218</v>
      </c>
    </row>
    <row r="34" spans="1:5" x14ac:dyDescent="0.3">
      <c r="A34">
        <v>33</v>
      </c>
      <c r="B34">
        <v>37</v>
      </c>
      <c r="C34" t="s">
        <v>222</v>
      </c>
      <c r="D34">
        <v>125.2</v>
      </c>
      <c r="E34" t="s">
        <v>224</v>
      </c>
    </row>
    <row r="35" spans="1:5" x14ac:dyDescent="0.3">
      <c r="A35">
        <v>34</v>
      </c>
      <c r="B35">
        <v>166</v>
      </c>
      <c r="C35" t="s">
        <v>215</v>
      </c>
      <c r="D35">
        <v>227</v>
      </c>
      <c r="E35" t="s">
        <v>219</v>
      </c>
    </row>
    <row r="36" spans="1:5" x14ac:dyDescent="0.3">
      <c r="A36">
        <v>35</v>
      </c>
      <c r="B36">
        <v>137</v>
      </c>
      <c r="C36" t="s">
        <v>225</v>
      </c>
      <c r="D36">
        <v>66.8</v>
      </c>
      <c r="E36" t="s">
        <v>226</v>
      </c>
    </row>
    <row r="37" spans="1:5" x14ac:dyDescent="0.3">
      <c r="A37">
        <v>36</v>
      </c>
      <c r="B37">
        <v>53</v>
      </c>
      <c r="C37" t="s">
        <v>225</v>
      </c>
      <c r="D37">
        <v>195.5</v>
      </c>
      <c r="E37" t="s">
        <v>218</v>
      </c>
    </row>
    <row r="38" spans="1:5" x14ac:dyDescent="0.3">
      <c r="A38">
        <v>37</v>
      </c>
      <c r="B38">
        <v>172</v>
      </c>
      <c r="C38" t="s">
        <v>217</v>
      </c>
      <c r="D38">
        <v>136.5</v>
      </c>
      <c r="E38" t="s">
        <v>216</v>
      </c>
    </row>
    <row r="39" spans="1:5" x14ac:dyDescent="0.3">
      <c r="A39">
        <v>38</v>
      </c>
      <c r="B39">
        <v>99</v>
      </c>
      <c r="C39" t="s">
        <v>215</v>
      </c>
      <c r="D39">
        <v>205.2</v>
      </c>
      <c r="E39" t="s">
        <v>219</v>
      </c>
    </row>
    <row r="40" spans="1:5" x14ac:dyDescent="0.3">
      <c r="A40">
        <v>39</v>
      </c>
      <c r="B40">
        <v>86</v>
      </c>
      <c r="C40" t="s">
        <v>215</v>
      </c>
      <c r="D40">
        <v>61.4</v>
      </c>
      <c r="E40" t="s">
        <v>226</v>
      </c>
    </row>
    <row r="41" spans="1:5" x14ac:dyDescent="0.3">
      <c r="A41">
        <v>40</v>
      </c>
      <c r="B41">
        <v>108</v>
      </c>
      <c r="C41" t="s">
        <v>222</v>
      </c>
      <c r="D41">
        <v>267.89999999999998</v>
      </c>
      <c r="E41" t="s">
        <v>221</v>
      </c>
    </row>
    <row r="42" spans="1:5" x14ac:dyDescent="0.3">
      <c r="A42">
        <v>41</v>
      </c>
      <c r="B42">
        <v>24</v>
      </c>
      <c r="C42" t="s">
        <v>223</v>
      </c>
      <c r="D42">
        <v>293.39999999999998</v>
      </c>
      <c r="E42" t="s">
        <v>226</v>
      </c>
    </row>
    <row r="43" spans="1:5" x14ac:dyDescent="0.3">
      <c r="A43">
        <v>42</v>
      </c>
      <c r="B43">
        <v>81</v>
      </c>
      <c r="C43" t="s">
        <v>225</v>
      </c>
      <c r="D43">
        <v>292.2</v>
      </c>
      <c r="E43" t="s">
        <v>226</v>
      </c>
    </row>
    <row r="44" spans="1:5" x14ac:dyDescent="0.3">
      <c r="A44">
        <v>43</v>
      </c>
      <c r="B44">
        <v>158</v>
      </c>
      <c r="C44" t="s">
        <v>222</v>
      </c>
      <c r="D44">
        <v>237.4</v>
      </c>
      <c r="E44" t="s">
        <v>218</v>
      </c>
    </row>
    <row r="45" spans="1:5" x14ac:dyDescent="0.3">
      <c r="A45">
        <v>44</v>
      </c>
      <c r="B45">
        <v>120</v>
      </c>
      <c r="C45" t="s">
        <v>220</v>
      </c>
      <c r="D45">
        <v>82.5</v>
      </c>
      <c r="E45" t="s">
        <v>216</v>
      </c>
    </row>
    <row r="46" spans="1:5" x14ac:dyDescent="0.3">
      <c r="A46">
        <v>45</v>
      </c>
      <c r="B46">
        <v>59</v>
      </c>
      <c r="C46" t="s">
        <v>225</v>
      </c>
      <c r="D46">
        <v>239.6</v>
      </c>
      <c r="E46" t="s">
        <v>221</v>
      </c>
    </row>
    <row r="47" spans="1:5" x14ac:dyDescent="0.3">
      <c r="A47">
        <v>46</v>
      </c>
      <c r="B47">
        <v>128</v>
      </c>
      <c r="C47" t="s">
        <v>222</v>
      </c>
      <c r="D47">
        <v>56.1</v>
      </c>
      <c r="E47" t="s">
        <v>224</v>
      </c>
    </row>
    <row r="48" spans="1:5" x14ac:dyDescent="0.3">
      <c r="A48">
        <v>47</v>
      </c>
      <c r="B48">
        <v>114</v>
      </c>
      <c r="C48" t="s">
        <v>225</v>
      </c>
      <c r="D48">
        <v>55.5</v>
      </c>
      <c r="E48" t="s">
        <v>224</v>
      </c>
    </row>
    <row r="49" spans="1:5" x14ac:dyDescent="0.3">
      <c r="A49">
        <v>48</v>
      </c>
      <c r="B49">
        <v>115</v>
      </c>
      <c r="C49" t="s">
        <v>223</v>
      </c>
      <c r="D49">
        <v>130.9</v>
      </c>
      <c r="E49" t="s">
        <v>226</v>
      </c>
    </row>
    <row r="50" spans="1:5" x14ac:dyDescent="0.3">
      <c r="A50">
        <v>49</v>
      </c>
      <c r="B50">
        <v>14</v>
      </c>
      <c r="C50" t="s">
        <v>220</v>
      </c>
      <c r="D50">
        <v>172.2</v>
      </c>
      <c r="E50" t="s">
        <v>218</v>
      </c>
    </row>
    <row r="51" spans="1:5" x14ac:dyDescent="0.3">
      <c r="A51">
        <v>50</v>
      </c>
      <c r="B51">
        <v>9</v>
      </c>
      <c r="C51" t="s">
        <v>223</v>
      </c>
      <c r="D51">
        <v>242.6</v>
      </c>
      <c r="E51" t="s">
        <v>218</v>
      </c>
    </row>
    <row r="52" spans="1:5" x14ac:dyDescent="0.3">
      <c r="A52">
        <v>51</v>
      </c>
      <c r="B52">
        <v>40</v>
      </c>
      <c r="C52" t="s">
        <v>220</v>
      </c>
      <c r="D52">
        <v>220.8</v>
      </c>
      <c r="E52" t="s">
        <v>224</v>
      </c>
    </row>
    <row r="53" spans="1:5" x14ac:dyDescent="0.3">
      <c r="A53">
        <v>52</v>
      </c>
      <c r="B53">
        <v>194</v>
      </c>
      <c r="C53" t="s">
        <v>217</v>
      </c>
      <c r="D53">
        <v>161.5</v>
      </c>
      <c r="E53" t="s">
        <v>221</v>
      </c>
    </row>
    <row r="54" spans="1:5" x14ac:dyDescent="0.3">
      <c r="A54">
        <v>53</v>
      </c>
      <c r="B54">
        <v>25</v>
      </c>
      <c r="C54" t="s">
        <v>222</v>
      </c>
      <c r="D54">
        <v>118.4</v>
      </c>
      <c r="E54" t="s">
        <v>216</v>
      </c>
    </row>
    <row r="55" spans="1:5" x14ac:dyDescent="0.3">
      <c r="A55">
        <v>54</v>
      </c>
      <c r="B55">
        <v>103</v>
      </c>
      <c r="C55" t="s">
        <v>220</v>
      </c>
      <c r="D55">
        <v>299.3</v>
      </c>
      <c r="E55" t="s">
        <v>221</v>
      </c>
    </row>
    <row r="56" spans="1:5" x14ac:dyDescent="0.3">
      <c r="A56">
        <v>55</v>
      </c>
      <c r="B56">
        <v>22</v>
      </c>
      <c r="C56" t="s">
        <v>223</v>
      </c>
      <c r="D56">
        <v>156.5</v>
      </c>
      <c r="E56" t="s">
        <v>219</v>
      </c>
    </row>
    <row r="57" spans="1:5" x14ac:dyDescent="0.3">
      <c r="A57">
        <v>56</v>
      </c>
      <c r="B57">
        <v>4</v>
      </c>
      <c r="C57" t="s">
        <v>225</v>
      </c>
      <c r="D57">
        <v>162.80000000000001</v>
      </c>
      <c r="E57" t="s">
        <v>219</v>
      </c>
    </row>
    <row r="58" spans="1:5" x14ac:dyDescent="0.3">
      <c r="A58">
        <v>57</v>
      </c>
      <c r="B58">
        <v>154</v>
      </c>
      <c r="C58" t="s">
        <v>220</v>
      </c>
      <c r="D58">
        <v>90.9</v>
      </c>
      <c r="E58" t="s">
        <v>216</v>
      </c>
    </row>
    <row r="59" spans="1:5" x14ac:dyDescent="0.3">
      <c r="A59">
        <v>58</v>
      </c>
      <c r="B59">
        <v>186</v>
      </c>
      <c r="C59" t="s">
        <v>222</v>
      </c>
      <c r="D59">
        <v>248.7</v>
      </c>
      <c r="E59" t="s">
        <v>224</v>
      </c>
    </row>
    <row r="60" spans="1:5" x14ac:dyDescent="0.3">
      <c r="A60">
        <v>59</v>
      </c>
      <c r="B60">
        <v>29</v>
      </c>
      <c r="C60" t="s">
        <v>220</v>
      </c>
      <c r="D60">
        <v>223.4</v>
      </c>
      <c r="E60" t="s">
        <v>216</v>
      </c>
    </row>
    <row r="61" spans="1:5" x14ac:dyDescent="0.3">
      <c r="A61">
        <v>60</v>
      </c>
      <c r="B61">
        <v>109</v>
      </c>
      <c r="C61" t="s">
        <v>215</v>
      </c>
      <c r="D61">
        <v>105.2</v>
      </c>
      <c r="E61" t="s">
        <v>218</v>
      </c>
    </row>
    <row r="62" spans="1:5" x14ac:dyDescent="0.3">
      <c r="A62">
        <v>61</v>
      </c>
      <c r="B62">
        <v>98</v>
      </c>
      <c r="C62" t="s">
        <v>225</v>
      </c>
      <c r="D62">
        <v>70.599999999999994</v>
      </c>
      <c r="E62" t="s">
        <v>219</v>
      </c>
    </row>
    <row r="63" spans="1:5" x14ac:dyDescent="0.3">
      <c r="A63">
        <v>62</v>
      </c>
      <c r="B63">
        <v>37</v>
      </c>
      <c r="C63" t="s">
        <v>222</v>
      </c>
      <c r="D63">
        <v>220.1</v>
      </c>
      <c r="E63" t="s">
        <v>226</v>
      </c>
    </row>
    <row r="64" spans="1:5" x14ac:dyDescent="0.3">
      <c r="A64">
        <v>63</v>
      </c>
      <c r="B64">
        <v>75</v>
      </c>
      <c r="C64" t="s">
        <v>222</v>
      </c>
      <c r="D64">
        <v>213.6</v>
      </c>
      <c r="E64" t="s">
        <v>226</v>
      </c>
    </row>
    <row r="65" spans="1:5" x14ac:dyDescent="0.3">
      <c r="A65">
        <v>64</v>
      </c>
      <c r="B65">
        <v>70</v>
      </c>
      <c r="C65" t="s">
        <v>217</v>
      </c>
      <c r="D65">
        <v>118.3</v>
      </c>
      <c r="E65" t="s">
        <v>224</v>
      </c>
    </row>
    <row r="66" spans="1:5" x14ac:dyDescent="0.3">
      <c r="A66">
        <v>65</v>
      </c>
      <c r="B66">
        <v>146</v>
      </c>
      <c r="C66" t="s">
        <v>223</v>
      </c>
      <c r="D66">
        <v>287.7</v>
      </c>
      <c r="E66" t="s">
        <v>218</v>
      </c>
    </row>
    <row r="67" spans="1:5" x14ac:dyDescent="0.3">
      <c r="A67">
        <v>66</v>
      </c>
      <c r="B67">
        <v>128</v>
      </c>
      <c r="C67" t="s">
        <v>217</v>
      </c>
      <c r="D67">
        <v>87.8</v>
      </c>
      <c r="E67" t="s">
        <v>221</v>
      </c>
    </row>
    <row r="68" spans="1:5" x14ac:dyDescent="0.3">
      <c r="A68">
        <v>67</v>
      </c>
      <c r="B68">
        <v>85</v>
      </c>
      <c r="C68" t="s">
        <v>222</v>
      </c>
      <c r="D68">
        <v>158.1</v>
      </c>
      <c r="E68" t="s">
        <v>218</v>
      </c>
    </row>
    <row r="69" spans="1:5" x14ac:dyDescent="0.3">
      <c r="A69">
        <v>68</v>
      </c>
      <c r="B69">
        <v>42</v>
      </c>
      <c r="C69" t="s">
        <v>225</v>
      </c>
      <c r="D69">
        <v>285.89999999999998</v>
      </c>
      <c r="E69" t="s">
        <v>226</v>
      </c>
    </row>
    <row r="70" spans="1:5" x14ac:dyDescent="0.3">
      <c r="A70">
        <v>69</v>
      </c>
      <c r="B70">
        <v>100</v>
      </c>
      <c r="C70" t="s">
        <v>220</v>
      </c>
      <c r="D70">
        <v>154.9</v>
      </c>
      <c r="E70" t="s">
        <v>226</v>
      </c>
    </row>
    <row r="71" spans="1:5" x14ac:dyDescent="0.3">
      <c r="A71">
        <v>70</v>
      </c>
      <c r="B71">
        <v>41</v>
      </c>
      <c r="C71" t="s">
        <v>220</v>
      </c>
      <c r="D71">
        <v>209.6</v>
      </c>
      <c r="E71" t="s">
        <v>219</v>
      </c>
    </row>
    <row r="72" spans="1:5" x14ac:dyDescent="0.3">
      <c r="A72">
        <v>71</v>
      </c>
      <c r="B72">
        <v>166</v>
      </c>
      <c r="C72" t="s">
        <v>225</v>
      </c>
      <c r="D72">
        <v>149.4</v>
      </c>
      <c r="E72" t="s">
        <v>218</v>
      </c>
    </row>
    <row r="73" spans="1:5" x14ac:dyDescent="0.3">
      <c r="A73">
        <v>72</v>
      </c>
      <c r="B73">
        <v>34</v>
      </c>
      <c r="C73" t="s">
        <v>222</v>
      </c>
      <c r="D73">
        <v>118.6</v>
      </c>
      <c r="E73" t="s">
        <v>218</v>
      </c>
    </row>
    <row r="74" spans="1:5" x14ac:dyDescent="0.3">
      <c r="A74">
        <v>73</v>
      </c>
      <c r="B74">
        <v>17</v>
      </c>
      <c r="C74" t="s">
        <v>220</v>
      </c>
      <c r="D74">
        <v>296</v>
      </c>
      <c r="E74" t="s">
        <v>226</v>
      </c>
    </row>
    <row r="75" spans="1:5" x14ac:dyDescent="0.3">
      <c r="A75">
        <v>74</v>
      </c>
      <c r="B75">
        <v>165</v>
      </c>
      <c r="C75" t="s">
        <v>220</v>
      </c>
      <c r="D75">
        <v>152.30000000000001</v>
      </c>
      <c r="E75" t="s">
        <v>221</v>
      </c>
    </row>
    <row r="76" spans="1:5" x14ac:dyDescent="0.3">
      <c r="A76">
        <v>75</v>
      </c>
      <c r="B76">
        <v>153</v>
      </c>
      <c r="C76" t="s">
        <v>220</v>
      </c>
      <c r="D76">
        <v>273.5</v>
      </c>
      <c r="E76" t="s">
        <v>224</v>
      </c>
    </row>
    <row r="77" spans="1:5" x14ac:dyDescent="0.3">
      <c r="A77">
        <v>76</v>
      </c>
      <c r="B77">
        <v>122</v>
      </c>
      <c r="C77" t="s">
        <v>223</v>
      </c>
      <c r="D77">
        <v>107.5</v>
      </c>
      <c r="E77" t="s">
        <v>224</v>
      </c>
    </row>
    <row r="78" spans="1:5" x14ac:dyDescent="0.3">
      <c r="A78">
        <v>77</v>
      </c>
      <c r="B78">
        <v>76</v>
      </c>
      <c r="C78" t="s">
        <v>223</v>
      </c>
      <c r="D78">
        <v>103.3</v>
      </c>
      <c r="E78" t="s">
        <v>218</v>
      </c>
    </row>
    <row r="79" spans="1:5" x14ac:dyDescent="0.3">
      <c r="A79">
        <v>78</v>
      </c>
      <c r="B79">
        <v>87</v>
      </c>
      <c r="C79" t="s">
        <v>215</v>
      </c>
      <c r="D79">
        <v>57.8</v>
      </c>
      <c r="E79" t="s">
        <v>224</v>
      </c>
    </row>
    <row r="80" spans="1:5" x14ac:dyDescent="0.3">
      <c r="A80">
        <v>79</v>
      </c>
      <c r="B80">
        <v>117</v>
      </c>
      <c r="C80" t="s">
        <v>217</v>
      </c>
      <c r="D80">
        <v>212.9</v>
      </c>
      <c r="E80" t="s">
        <v>226</v>
      </c>
    </row>
    <row r="81" spans="1:5" x14ac:dyDescent="0.3">
      <c r="A81">
        <v>80</v>
      </c>
      <c r="B81">
        <v>106</v>
      </c>
      <c r="C81" t="s">
        <v>225</v>
      </c>
      <c r="D81">
        <v>142.1</v>
      </c>
      <c r="E81" t="s">
        <v>226</v>
      </c>
    </row>
    <row r="82" spans="1:5" x14ac:dyDescent="0.3">
      <c r="A82">
        <v>81</v>
      </c>
      <c r="B82">
        <v>86</v>
      </c>
      <c r="C82" t="s">
        <v>225</v>
      </c>
      <c r="D82">
        <v>266.10000000000002</v>
      </c>
      <c r="E82" t="s">
        <v>218</v>
      </c>
    </row>
    <row r="83" spans="1:5" x14ac:dyDescent="0.3">
      <c r="A83">
        <v>82</v>
      </c>
      <c r="B83">
        <v>27</v>
      </c>
      <c r="C83" t="s">
        <v>225</v>
      </c>
      <c r="D83">
        <v>168.3</v>
      </c>
      <c r="E83" t="s">
        <v>218</v>
      </c>
    </row>
    <row r="84" spans="1:5" x14ac:dyDescent="0.3">
      <c r="A84">
        <v>83</v>
      </c>
      <c r="B84">
        <v>57</v>
      </c>
      <c r="C84" t="s">
        <v>215</v>
      </c>
      <c r="D84">
        <v>292</v>
      </c>
      <c r="E84" t="s">
        <v>219</v>
      </c>
    </row>
    <row r="85" spans="1:5" x14ac:dyDescent="0.3">
      <c r="A85">
        <v>84</v>
      </c>
      <c r="B85">
        <v>31</v>
      </c>
      <c r="C85" t="s">
        <v>223</v>
      </c>
      <c r="D85">
        <v>96.4</v>
      </c>
      <c r="E85" t="s">
        <v>218</v>
      </c>
    </row>
    <row r="86" spans="1:5" x14ac:dyDescent="0.3">
      <c r="A86">
        <v>85</v>
      </c>
      <c r="B86">
        <v>134</v>
      </c>
      <c r="C86" t="s">
        <v>222</v>
      </c>
      <c r="D86">
        <v>267.2</v>
      </c>
      <c r="E86" t="s">
        <v>221</v>
      </c>
    </row>
    <row r="87" spans="1:5" x14ac:dyDescent="0.3">
      <c r="A87">
        <v>86</v>
      </c>
      <c r="B87">
        <v>168</v>
      </c>
      <c r="C87" t="s">
        <v>222</v>
      </c>
      <c r="D87">
        <v>244.1</v>
      </c>
      <c r="E87" t="s">
        <v>224</v>
      </c>
    </row>
    <row r="88" spans="1:5" x14ac:dyDescent="0.3">
      <c r="A88">
        <v>87</v>
      </c>
      <c r="B88">
        <v>98</v>
      </c>
      <c r="C88" t="s">
        <v>215</v>
      </c>
      <c r="D88">
        <v>242.7</v>
      </c>
      <c r="E88" t="s">
        <v>218</v>
      </c>
    </row>
    <row r="89" spans="1:5" x14ac:dyDescent="0.3">
      <c r="A89">
        <v>88</v>
      </c>
      <c r="B89">
        <v>12</v>
      </c>
      <c r="C89" t="s">
        <v>222</v>
      </c>
      <c r="D89">
        <v>261.2</v>
      </c>
      <c r="E89" t="s">
        <v>216</v>
      </c>
    </row>
    <row r="90" spans="1:5" x14ac:dyDescent="0.3">
      <c r="A90">
        <v>89</v>
      </c>
      <c r="B90">
        <v>53</v>
      </c>
      <c r="C90" t="s">
        <v>225</v>
      </c>
      <c r="D90">
        <v>240.3</v>
      </c>
      <c r="E90" t="s">
        <v>219</v>
      </c>
    </row>
    <row r="91" spans="1:5" x14ac:dyDescent="0.3">
      <c r="A91">
        <v>90</v>
      </c>
      <c r="B91">
        <v>199</v>
      </c>
      <c r="C91" t="s">
        <v>217</v>
      </c>
      <c r="D91">
        <v>206.6</v>
      </c>
      <c r="E91" t="s">
        <v>216</v>
      </c>
    </row>
    <row r="92" spans="1:5" x14ac:dyDescent="0.3">
      <c r="A92">
        <v>91</v>
      </c>
      <c r="B92">
        <v>138</v>
      </c>
      <c r="C92" t="s">
        <v>220</v>
      </c>
      <c r="D92">
        <v>82.8</v>
      </c>
      <c r="E92" t="s">
        <v>226</v>
      </c>
    </row>
    <row r="93" spans="1:5" x14ac:dyDescent="0.3">
      <c r="A93">
        <v>92</v>
      </c>
      <c r="B93">
        <v>173</v>
      </c>
      <c r="C93" t="s">
        <v>223</v>
      </c>
      <c r="D93">
        <v>58.1</v>
      </c>
      <c r="E93" t="s">
        <v>224</v>
      </c>
    </row>
    <row r="94" spans="1:5" x14ac:dyDescent="0.3">
      <c r="A94">
        <v>93</v>
      </c>
      <c r="B94">
        <v>145</v>
      </c>
      <c r="C94" t="s">
        <v>223</v>
      </c>
      <c r="D94">
        <v>280.2</v>
      </c>
      <c r="E94" t="s">
        <v>218</v>
      </c>
    </row>
    <row r="95" spans="1:5" x14ac:dyDescent="0.3">
      <c r="A95">
        <v>94</v>
      </c>
      <c r="B95">
        <v>154</v>
      </c>
      <c r="C95" t="s">
        <v>215</v>
      </c>
      <c r="D95">
        <v>204.2</v>
      </c>
      <c r="E95" t="s">
        <v>216</v>
      </c>
    </row>
    <row r="96" spans="1:5" x14ac:dyDescent="0.3">
      <c r="A96">
        <v>95</v>
      </c>
      <c r="B96">
        <v>190</v>
      </c>
      <c r="C96" t="s">
        <v>223</v>
      </c>
      <c r="D96">
        <v>249.1</v>
      </c>
      <c r="E96" t="s">
        <v>224</v>
      </c>
    </row>
    <row r="97" spans="1:5" x14ac:dyDescent="0.3">
      <c r="A97">
        <v>96</v>
      </c>
      <c r="B97">
        <v>122</v>
      </c>
      <c r="C97" t="s">
        <v>225</v>
      </c>
      <c r="D97">
        <v>170.4</v>
      </c>
      <c r="E97" t="s">
        <v>226</v>
      </c>
    </row>
    <row r="98" spans="1:5" x14ac:dyDescent="0.3">
      <c r="A98">
        <v>97</v>
      </c>
      <c r="B98">
        <v>46</v>
      </c>
      <c r="C98" t="s">
        <v>222</v>
      </c>
      <c r="D98">
        <v>79.3</v>
      </c>
      <c r="E98" t="s">
        <v>221</v>
      </c>
    </row>
    <row r="99" spans="1:5" x14ac:dyDescent="0.3">
      <c r="A99">
        <v>98</v>
      </c>
      <c r="B99">
        <v>64</v>
      </c>
      <c r="C99" t="s">
        <v>225</v>
      </c>
      <c r="D99">
        <v>81.3</v>
      </c>
      <c r="E99" t="s">
        <v>219</v>
      </c>
    </row>
    <row r="100" spans="1:5" x14ac:dyDescent="0.3">
      <c r="A100">
        <v>99</v>
      </c>
      <c r="B100">
        <v>130</v>
      </c>
      <c r="C100" t="s">
        <v>215</v>
      </c>
      <c r="D100">
        <v>221.4</v>
      </c>
      <c r="E100" t="s">
        <v>224</v>
      </c>
    </row>
    <row r="101" spans="1:5" x14ac:dyDescent="0.3">
      <c r="A101">
        <v>100</v>
      </c>
      <c r="B101">
        <v>54</v>
      </c>
      <c r="C101" t="s">
        <v>225</v>
      </c>
      <c r="D101">
        <v>157.6</v>
      </c>
      <c r="E101" t="s">
        <v>224</v>
      </c>
    </row>
    <row r="102" spans="1:5" x14ac:dyDescent="0.3">
      <c r="A102">
        <v>101</v>
      </c>
      <c r="B102">
        <v>107</v>
      </c>
      <c r="C102" t="s">
        <v>222</v>
      </c>
      <c r="D102">
        <v>100.1</v>
      </c>
      <c r="E102" t="s">
        <v>221</v>
      </c>
    </row>
    <row r="103" spans="1:5" x14ac:dyDescent="0.3">
      <c r="A103">
        <v>102</v>
      </c>
      <c r="B103">
        <v>193</v>
      </c>
      <c r="C103" t="s">
        <v>217</v>
      </c>
      <c r="D103">
        <v>172.9</v>
      </c>
      <c r="E103" t="s">
        <v>224</v>
      </c>
    </row>
    <row r="104" spans="1:5" x14ac:dyDescent="0.3">
      <c r="A104">
        <v>103</v>
      </c>
      <c r="B104">
        <v>51</v>
      </c>
      <c r="C104" t="s">
        <v>215</v>
      </c>
      <c r="D104">
        <v>66.099999999999994</v>
      </c>
      <c r="E104" t="s">
        <v>226</v>
      </c>
    </row>
    <row r="105" spans="1:5" x14ac:dyDescent="0.3">
      <c r="A105">
        <v>104</v>
      </c>
      <c r="B105">
        <v>181</v>
      </c>
      <c r="C105" t="s">
        <v>217</v>
      </c>
      <c r="D105">
        <v>195.5</v>
      </c>
      <c r="E105" t="s">
        <v>226</v>
      </c>
    </row>
    <row r="106" spans="1:5" x14ac:dyDescent="0.3">
      <c r="A106">
        <v>105</v>
      </c>
      <c r="B106">
        <v>36</v>
      </c>
      <c r="C106" t="s">
        <v>220</v>
      </c>
      <c r="D106">
        <v>117.2</v>
      </c>
      <c r="E106" t="s">
        <v>221</v>
      </c>
    </row>
    <row r="107" spans="1:5" x14ac:dyDescent="0.3">
      <c r="A107">
        <v>106</v>
      </c>
      <c r="B107">
        <v>115</v>
      </c>
      <c r="C107" t="s">
        <v>217</v>
      </c>
      <c r="D107">
        <v>249.4</v>
      </c>
      <c r="E107" t="s">
        <v>219</v>
      </c>
    </row>
    <row r="108" spans="1:5" x14ac:dyDescent="0.3">
      <c r="A108">
        <v>107</v>
      </c>
      <c r="B108">
        <v>26</v>
      </c>
      <c r="C108" t="s">
        <v>220</v>
      </c>
      <c r="D108">
        <v>127.6</v>
      </c>
      <c r="E108" t="s">
        <v>218</v>
      </c>
    </row>
    <row r="109" spans="1:5" x14ac:dyDescent="0.3">
      <c r="A109">
        <v>108</v>
      </c>
      <c r="B109">
        <v>29</v>
      </c>
      <c r="C109" t="s">
        <v>220</v>
      </c>
      <c r="D109">
        <v>163.80000000000001</v>
      </c>
      <c r="E109" t="s">
        <v>216</v>
      </c>
    </row>
    <row r="110" spans="1:5" x14ac:dyDescent="0.3">
      <c r="A110">
        <v>109</v>
      </c>
      <c r="B110">
        <v>149</v>
      </c>
      <c r="C110" t="s">
        <v>217</v>
      </c>
      <c r="D110">
        <v>52.9</v>
      </c>
      <c r="E110" t="s">
        <v>218</v>
      </c>
    </row>
    <row r="111" spans="1:5" x14ac:dyDescent="0.3">
      <c r="A111">
        <v>110</v>
      </c>
      <c r="B111">
        <v>11</v>
      </c>
      <c r="C111" t="s">
        <v>215</v>
      </c>
      <c r="D111">
        <v>68.099999999999994</v>
      </c>
      <c r="E111" t="s">
        <v>224</v>
      </c>
    </row>
    <row r="112" spans="1:5" x14ac:dyDescent="0.3">
      <c r="A112">
        <v>111</v>
      </c>
      <c r="B112">
        <v>40</v>
      </c>
      <c r="C112" t="s">
        <v>222</v>
      </c>
      <c r="D112">
        <v>148.1</v>
      </c>
      <c r="E112" t="s">
        <v>216</v>
      </c>
    </row>
    <row r="113" spans="1:5" x14ac:dyDescent="0.3">
      <c r="A113">
        <v>112</v>
      </c>
      <c r="B113">
        <v>11</v>
      </c>
      <c r="C113" t="s">
        <v>225</v>
      </c>
      <c r="D113">
        <v>170</v>
      </c>
      <c r="E113" t="s">
        <v>221</v>
      </c>
    </row>
    <row r="114" spans="1:5" x14ac:dyDescent="0.3">
      <c r="A114">
        <v>113</v>
      </c>
      <c r="B114">
        <v>164</v>
      </c>
      <c r="C114" t="s">
        <v>225</v>
      </c>
      <c r="D114">
        <v>200</v>
      </c>
      <c r="E114" t="s">
        <v>221</v>
      </c>
    </row>
    <row r="115" spans="1:5" x14ac:dyDescent="0.3">
      <c r="A115">
        <v>114</v>
      </c>
      <c r="B115">
        <v>113</v>
      </c>
      <c r="C115" t="s">
        <v>222</v>
      </c>
      <c r="D115">
        <v>122.9</v>
      </c>
      <c r="E115" t="s">
        <v>219</v>
      </c>
    </row>
    <row r="116" spans="1:5" x14ac:dyDescent="0.3">
      <c r="A116">
        <v>115</v>
      </c>
      <c r="B116">
        <v>187</v>
      </c>
      <c r="C116" t="s">
        <v>220</v>
      </c>
      <c r="D116">
        <v>223.7</v>
      </c>
      <c r="E116" t="s">
        <v>216</v>
      </c>
    </row>
    <row r="117" spans="1:5" x14ac:dyDescent="0.3">
      <c r="A117">
        <v>116</v>
      </c>
      <c r="B117">
        <v>39</v>
      </c>
      <c r="C117" t="s">
        <v>220</v>
      </c>
      <c r="D117">
        <v>265</v>
      </c>
      <c r="E117" t="s">
        <v>226</v>
      </c>
    </row>
    <row r="118" spans="1:5" x14ac:dyDescent="0.3">
      <c r="A118">
        <v>117</v>
      </c>
      <c r="B118">
        <v>54</v>
      </c>
      <c r="C118" t="s">
        <v>215</v>
      </c>
      <c r="D118">
        <v>245</v>
      </c>
      <c r="E118" t="s">
        <v>216</v>
      </c>
    </row>
    <row r="119" spans="1:5" x14ac:dyDescent="0.3">
      <c r="A119">
        <v>118</v>
      </c>
      <c r="B119">
        <v>98</v>
      </c>
      <c r="C119" t="s">
        <v>223</v>
      </c>
      <c r="D119">
        <v>59.9</v>
      </c>
      <c r="E119" t="s">
        <v>224</v>
      </c>
    </row>
    <row r="120" spans="1:5" x14ac:dyDescent="0.3">
      <c r="A120">
        <v>119</v>
      </c>
      <c r="B120">
        <v>55</v>
      </c>
      <c r="C120" t="s">
        <v>217</v>
      </c>
      <c r="D120">
        <v>170.1</v>
      </c>
      <c r="E120" t="s">
        <v>226</v>
      </c>
    </row>
    <row r="121" spans="1:5" x14ac:dyDescent="0.3">
      <c r="A121">
        <v>120</v>
      </c>
      <c r="B121">
        <v>111</v>
      </c>
      <c r="C121" t="s">
        <v>220</v>
      </c>
      <c r="D121">
        <v>76.2</v>
      </c>
      <c r="E121" t="s">
        <v>221</v>
      </c>
    </row>
    <row r="122" spans="1:5" x14ac:dyDescent="0.3">
      <c r="A122">
        <v>121</v>
      </c>
      <c r="B122">
        <v>152</v>
      </c>
      <c r="C122" t="s">
        <v>225</v>
      </c>
      <c r="D122">
        <v>110.5</v>
      </c>
      <c r="E122" t="s">
        <v>216</v>
      </c>
    </row>
    <row r="123" spans="1:5" x14ac:dyDescent="0.3">
      <c r="A123">
        <v>122</v>
      </c>
      <c r="B123">
        <v>150</v>
      </c>
      <c r="C123" t="s">
        <v>215</v>
      </c>
      <c r="D123">
        <v>296.7</v>
      </c>
      <c r="E123" t="s">
        <v>218</v>
      </c>
    </row>
    <row r="124" spans="1:5" x14ac:dyDescent="0.3">
      <c r="A124">
        <v>123</v>
      </c>
      <c r="B124">
        <v>69</v>
      </c>
      <c r="C124" t="s">
        <v>217</v>
      </c>
      <c r="D124">
        <v>85.6</v>
      </c>
      <c r="E124" t="s">
        <v>219</v>
      </c>
    </row>
    <row r="125" spans="1:5" x14ac:dyDescent="0.3">
      <c r="A125">
        <v>124</v>
      </c>
      <c r="B125">
        <v>56</v>
      </c>
      <c r="C125" t="s">
        <v>215</v>
      </c>
      <c r="D125">
        <v>174.7</v>
      </c>
      <c r="E125" t="s">
        <v>218</v>
      </c>
    </row>
    <row r="126" spans="1:5" x14ac:dyDescent="0.3">
      <c r="A126">
        <v>125</v>
      </c>
      <c r="B126">
        <v>33</v>
      </c>
      <c r="C126" t="s">
        <v>217</v>
      </c>
      <c r="D126">
        <v>204.5</v>
      </c>
      <c r="E126" t="s">
        <v>219</v>
      </c>
    </row>
    <row r="127" spans="1:5" x14ac:dyDescent="0.3">
      <c r="A127">
        <v>126</v>
      </c>
      <c r="B127">
        <v>36</v>
      </c>
      <c r="C127" t="s">
        <v>217</v>
      </c>
      <c r="D127">
        <v>225.6</v>
      </c>
      <c r="E127" t="s">
        <v>224</v>
      </c>
    </row>
    <row r="128" spans="1:5" x14ac:dyDescent="0.3">
      <c r="A128">
        <v>127</v>
      </c>
      <c r="B128">
        <v>148</v>
      </c>
      <c r="C128" t="s">
        <v>222</v>
      </c>
      <c r="D128">
        <v>189.9</v>
      </c>
      <c r="E128" t="s">
        <v>218</v>
      </c>
    </row>
    <row r="129" spans="1:5" x14ac:dyDescent="0.3">
      <c r="A129">
        <v>128</v>
      </c>
      <c r="B129">
        <v>81</v>
      </c>
      <c r="C129" t="s">
        <v>220</v>
      </c>
      <c r="D129">
        <v>52.4</v>
      </c>
      <c r="E129" t="s">
        <v>216</v>
      </c>
    </row>
    <row r="130" spans="1:5" x14ac:dyDescent="0.3">
      <c r="A130">
        <v>129</v>
      </c>
      <c r="B130">
        <v>190</v>
      </c>
      <c r="C130" t="s">
        <v>215</v>
      </c>
      <c r="D130">
        <v>131.6</v>
      </c>
      <c r="E130" t="s">
        <v>216</v>
      </c>
    </row>
    <row r="131" spans="1:5" x14ac:dyDescent="0.3">
      <c r="A131">
        <v>130</v>
      </c>
      <c r="B131">
        <v>109</v>
      </c>
      <c r="C131" t="s">
        <v>215</v>
      </c>
      <c r="D131">
        <v>179.4</v>
      </c>
      <c r="E131" t="s">
        <v>218</v>
      </c>
    </row>
    <row r="132" spans="1:5" x14ac:dyDescent="0.3">
      <c r="A132">
        <v>131</v>
      </c>
      <c r="B132">
        <v>154</v>
      </c>
      <c r="C132" t="s">
        <v>222</v>
      </c>
      <c r="D132">
        <v>72</v>
      </c>
      <c r="E132" t="s">
        <v>216</v>
      </c>
    </row>
    <row r="133" spans="1:5" x14ac:dyDescent="0.3">
      <c r="A133">
        <v>132</v>
      </c>
      <c r="B133">
        <v>194</v>
      </c>
      <c r="C133" t="s">
        <v>225</v>
      </c>
      <c r="D133">
        <v>137.69999999999999</v>
      </c>
      <c r="E133" t="s">
        <v>224</v>
      </c>
    </row>
    <row r="134" spans="1:5" x14ac:dyDescent="0.3">
      <c r="A134">
        <v>133</v>
      </c>
      <c r="B134">
        <v>73</v>
      </c>
      <c r="C134" t="s">
        <v>225</v>
      </c>
      <c r="D134">
        <v>58.3</v>
      </c>
      <c r="E134" t="s">
        <v>226</v>
      </c>
    </row>
    <row r="135" spans="1:5" x14ac:dyDescent="0.3">
      <c r="A135">
        <v>134</v>
      </c>
      <c r="B135">
        <v>40</v>
      </c>
      <c r="C135" t="s">
        <v>220</v>
      </c>
      <c r="D135">
        <v>69.599999999999994</v>
      </c>
      <c r="E135" t="s">
        <v>224</v>
      </c>
    </row>
    <row r="136" spans="1:5" x14ac:dyDescent="0.3">
      <c r="A136">
        <v>135</v>
      </c>
      <c r="B136">
        <v>17</v>
      </c>
      <c r="C136" t="s">
        <v>220</v>
      </c>
      <c r="D136">
        <v>149.19999999999999</v>
      </c>
      <c r="E136" t="s">
        <v>219</v>
      </c>
    </row>
    <row r="137" spans="1:5" x14ac:dyDescent="0.3">
      <c r="A137">
        <v>136</v>
      </c>
      <c r="B137">
        <v>129</v>
      </c>
      <c r="C137" t="s">
        <v>223</v>
      </c>
      <c r="D137">
        <v>83.2</v>
      </c>
      <c r="E137" t="s">
        <v>224</v>
      </c>
    </row>
    <row r="138" spans="1:5" x14ac:dyDescent="0.3">
      <c r="A138">
        <v>137</v>
      </c>
      <c r="B138">
        <v>61</v>
      </c>
      <c r="C138" t="s">
        <v>222</v>
      </c>
      <c r="D138">
        <v>191.9</v>
      </c>
      <c r="E138" t="s">
        <v>219</v>
      </c>
    </row>
    <row r="139" spans="1:5" x14ac:dyDescent="0.3">
      <c r="A139">
        <v>138</v>
      </c>
      <c r="B139">
        <v>171</v>
      </c>
      <c r="C139" t="s">
        <v>225</v>
      </c>
      <c r="D139">
        <v>222.4</v>
      </c>
      <c r="E139" t="s">
        <v>216</v>
      </c>
    </row>
    <row r="140" spans="1:5" x14ac:dyDescent="0.3">
      <c r="A140">
        <v>139</v>
      </c>
      <c r="B140">
        <v>104</v>
      </c>
      <c r="C140" t="s">
        <v>217</v>
      </c>
      <c r="D140">
        <v>250.1</v>
      </c>
      <c r="E140" t="s">
        <v>226</v>
      </c>
    </row>
    <row r="141" spans="1:5" x14ac:dyDescent="0.3">
      <c r="A141">
        <v>140</v>
      </c>
      <c r="B141">
        <v>42</v>
      </c>
      <c r="C141" t="s">
        <v>215</v>
      </c>
      <c r="D141">
        <v>100</v>
      </c>
      <c r="E141" t="s">
        <v>216</v>
      </c>
    </row>
    <row r="142" spans="1:5" x14ac:dyDescent="0.3">
      <c r="A142">
        <v>141</v>
      </c>
      <c r="B142">
        <v>25</v>
      </c>
      <c r="C142" t="s">
        <v>220</v>
      </c>
      <c r="D142">
        <v>91.9</v>
      </c>
      <c r="E142" t="s">
        <v>221</v>
      </c>
    </row>
    <row r="143" spans="1:5" x14ac:dyDescent="0.3">
      <c r="A143">
        <v>142</v>
      </c>
      <c r="B143">
        <v>39</v>
      </c>
      <c r="C143" t="s">
        <v>215</v>
      </c>
      <c r="D143">
        <v>76.099999999999994</v>
      </c>
      <c r="E143" t="s">
        <v>216</v>
      </c>
    </row>
    <row r="144" spans="1:5" x14ac:dyDescent="0.3">
      <c r="A144">
        <v>143</v>
      </c>
      <c r="B144">
        <v>35</v>
      </c>
      <c r="C144" t="s">
        <v>215</v>
      </c>
      <c r="D144">
        <v>209.1</v>
      </c>
      <c r="E144" t="s">
        <v>219</v>
      </c>
    </row>
    <row r="145" spans="1:5" x14ac:dyDescent="0.3">
      <c r="A145">
        <v>144</v>
      </c>
      <c r="B145">
        <v>131</v>
      </c>
      <c r="C145" t="s">
        <v>223</v>
      </c>
      <c r="D145">
        <v>226.6</v>
      </c>
      <c r="E145" t="s">
        <v>216</v>
      </c>
    </row>
    <row r="146" spans="1:5" x14ac:dyDescent="0.3">
      <c r="A146">
        <v>145</v>
      </c>
      <c r="B146">
        <v>108</v>
      </c>
      <c r="C146" t="s">
        <v>225</v>
      </c>
      <c r="D146">
        <v>57.9</v>
      </c>
      <c r="E146" t="s">
        <v>216</v>
      </c>
    </row>
    <row r="147" spans="1:5" x14ac:dyDescent="0.3">
      <c r="A147">
        <v>146</v>
      </c>
      <c r="B147">
        <v>172</v>
      </c>
      <c r="C147" t="s">
        <v>220</v>
      </c>
      <c r="D147">
        <v>284.10000000000002</v>
      </c>
      <c r="E147" t="s">
        <v>226</v>
      </c>
    </row>
    <row r="148" spans="1:5" x14ac:dyDescent="0.3">
      <c r="A148">
        <v>147</v>
      </c>
      <c r="B148">
        <v>179</v>
      </c>
      <c r="C148" t="s">
        <v>215</v>
      </c>
      <c r="D148">
        <v>63</v>
      </c>
      <c r="E148" t="s">
        <v>216</v>
      </c>
    </row>
    <row r="149" spans="1:5" x14ac:dyDescent="0.3">
      <c r="A149">
        <v>148</v>
      </c>
      <c r="B149">
        <v>102</v>
      </c>
      <c r="C149" t="s">
        <v>220</v>
      </c>
      <c r="D149">
        <v>185.3</v>
      </c>
      <c r="E149" t="s">
        <v>226</v>
      </c>
    </row>
    <row r="150" spans="1:5" x14ac:dyDescent="0.3">
      <c r="A150">
        <v>149</v>
      </c>
      <c r="B150">
        <v>98</v>
      </c>
      <c r="C150" t="s">
        <v>217</v>
      </c>
      <c r="D150">
        <v>227.3</v>
      </c>
      <c r="E150" t="s">
        <v>218</v>
      </c>
    </row>
    <row r="151" spans="1:5" x14ac:dyDescent="0.3">
      <c r="A151">
        <v>150</v>
      </c>
      <c r="B151">
        <v>12</v>
      </c>
      <c r="C151" t="s">
        <v>223</v>
      </c>
      <c r="D151">
        <v>267.7</v>
      </c>
      <c r="E151" t="s">
        <v>221</v>
      </c>
    </row>
    <row r="152" spans="1:5" x14ac:dyDescent="0.3">
      <c r="A152">
        <v>151</v>
      </c>
      <c r="B152">
        <v>19</v>
      </c>
      <c r="C152" t="s">
        <v>217</v>
      </c>
      <c r="D152">
        <v>228.5</v>
      </c>
      <c r="E152" t="s">
        <v>226</v>
      </c>
    </row>
    <row r="153" spans="1:5" x14ac:dyDescent="0.3">
      <c r="A153">
        <v>152</v>
      </c>
      <c r="B153">
        <v>101</v>
      </c>
      <c r="C153" t="s">
        <v>220</v>
      </c>
      <c r="D153">
        <v>250.4</v>
      </c>
      <c r="E153" t="s">
        <v>219</v>
      </c>
    </row>
    <row r="154" spans="1:5" x14ac:dyDescent="0.3">
      <c r="A154">
        <v>153</v>
      </c>
      <c r="B154">
        <v>44</v>
      </c>
      <c r="C154" t="s">
        <v>220</v>
      </c>
      <c r="D154">
        <v>134.9</v>
      </c>
      <c r="E154" t="s">
        <v>218</v>
      </c>
    </row>
    <row r="155" spans="1:5" x14ac:dyDescent="0.3">
      <c r="A155">
        <v>154</v>
      </c>
      <c r="B155">
        <v>187</v>
      </c>
      <c r="C155" t="s">
        <v>225</v>
      </c>
      <c r="D155">
        <v>253.7</v>
      </c>
      <c r="E155" t="s">
        <v>226</v>
      </c>
    </row>
    <row r="156" spans="1:5" x14ac:dyDescent="0.3">
      <c r="A156">
        <v>155</v>
      </c>
      <c r="B156">
        <v>49</v>
      </c>
      <c r="C156" t="s">
        <v>215</v>
      </c>
      <c r="D156">
        <v>70</v>
      </c>
      <c r="E156" t="s">
        <v>226</v>
      </c>
    </row>
    <row r="157" spans="1:5" x14ac:dyDescent="0.3">
      <c r="A157">
        <v>156</v>
      </c>
      <c r="B157">
        <v>189</v>
      </c>
      <c r="C157" t="s">
        <v>215</v>
      </c>
      <c r="D157">
        <v>273.7</v>
      </c>
      <c r="E157" t="s">
        <v>221</v>
      </c>
    </row>
    <row r="158" spans="1:5" x14ac:dyDescent="0.3">
      <c r="A158">
        <v>157</v>
      </c>
      <c r="B158">
        <v>17</v>
      </c>
      <c r="C158" t="s">
        <v>217</v>
      </c>
      <c r="D158">
        <v>186.9</v>
      </c>
      <c r="E158" t="s">
        <v>219</v>
      </c>
    </row>
    <row r="159" spans="1:5" x14ac:dyDescent="0.3">
      <c r="A159">
        <v>158</v>
      </c>
      <c r="B159">
        <v>74</v>
      </c>
      <c r="C159" t="s">
        <v>223</v>
      </c>
      <c r="D159">
        <v>254.3</v>
      </c>
      <c r="E159" t="s">
        <v>224</v>
      </c>
    </row>
    <row r="160" spans="1:5" x14ac:dyDescent="0.3">
      <c r="A160">
        <v>159</v>
      </c>
      <c r="B160">
        <v>57</v>
      </c>
      <c r="C160" t="s">
        <v>222</v>
      </c>
      <c r="D160">
        <v>163.1</v>
      </c>
      <c r="E160" t="s">
        <v>224</v>
      </c>
    </row>
    <row r="161" spans="1:5" x14ac:dyDescent="0.3">
      <c r="A161">
        <v>160</v>
      </c>
      <c r="B161">
        <v>55</v>
      </c>
      <c r="C161" t="s">
        <v>215</v>
      </c>
      <c r="D161">
        <v>210.9</v>
      </c>
      <c r="E161" t="s">
        <v>226</v>
      </c>
    </row>
    <row r="162" spans="1:5" x14ac:dyDescent="0.3">
      <c r="A162">
        <v>161</v>
      </c>
      <c r="B162">
        <v>47</v>
      </c>
      <c r="C162" t="s">
        <v>225</v>
      </c>
      <c r="D162">
        <v>181.6</v>
      </c>
      <c r="E162" t="s">
        <v>216</v>
      </c>
    </row>
    <row r="163" spans="1:5" x14ac:dyDescent="0.3">
      <c r="A163">
        <v>162</v>
      </c>
      <c r="B163">
        <v>12</v>
      </c>
      <c r="C163" t="s">
        <v>217</v>
      </c>
      <c r="D163">
        <v>232.9</v>
      </c>
      <c r="E163" t="s">
        <v>219</v>
      </c>
    </row>
    <row r="164" spans="1:5" x14ac:dyDescent="0.3">
      <c r="A164">
        <v>163</v>
      </c>
      <c r="B164">
        <v>62</v>
      </c>
      <c r="C164" t="s">
        <v>217</v>
      </c>
      <c r="D164">
        <v>70.400000000000006</v>
      </c>
      <c r="E164" t="s">
        <v>218</v>
      </c>
    </row>
    <row r="165" spans="1:5" x14ac:dyDescent="0.3">
      <c r="A165">
        <v>164</v>
      </c>
      <c r="B165">
        <v>80</v>
      </c>
      <c r="C165" t="s">
        <v>222</v>
      </c>
      <c r="D165">
        <v>65.099999999999994</v>
      </c>
      <c r="E165" t="s">
        <v>216</v>
      </c>
    </row>
    <row r="166" spans="1:5" x14ac:dyDescent="0.3">
      <c r="A166">
        <v>165</v>
      </c>
      <c r="B166">
        <v>83</v>
      </c>
      <c r="C166" t="s">
        <v>225</v>
      </c>
      <c r="D166">
        <v>111.8</v>
      </c>
      <c r="E166" t="s">
        <v>216</v>
      </c>
    </row>
    <row r="167" spans="1:5" x14ac:dyDescent="0.3">
      <c r="A167">
        <v>166</v>
      </c>
      <c r="B167">
        <v>8</v>
      </c>
      <c r="C167" t="s">
        <v>223</v>
      </c>
      <c r="D167">
        <v>89.9</v>
      </c>
      <c r="E167" t="s">
        <v>219</v>
      </c>
    </row>
    <row r="168" spans="1:5" x14ac:dyDescent="0.3">
      <c r="A168">
        <v>167</v>
      </c>
      <c r="B168">
        <v>149</v>
      </c>
      <c r="C168" t="s">
        <v>225</v>
      </c>
      <c r="D168">
        <v>267.89999999999998</v>
      </c>
      <c r="E168" t="s">
        <v>226</v>
      </c>
    </row>
    <row r="169" spans="1:5" x14ac:dyDescent="0.3">
      <c r="A169">
        <v>168</v>
      </c>
      <c r="B169">
        <v>81</v>
      </c>
      <c r="C169" t="s">
        <v>223</v>
      </c>
      <c r="D169">
        <v>104.8</v>
      </c>
      <c r="E169" t="s">
        <v>226</v>
      </c>
    </row>
    <row r="170" spans="1:5" x14ac:dyDescent="0.3">
      <c r="A170">
        <v>169</v>
      </c>
      <c r="B170">
        <v>118</v>
      </c>
      <c r="C170" t="s">
        <v>225</v>
      </c>
      <c r="D170">
        <v>294</v>
      </c>
      <c r="E170" t="s">
        <v>226</v>
      </c>
    </row>
    <row r="171" spans="1:5" x14ac:dyDescent="0.3">
      <c r="A171">
        <v>170</v>
      </c>
      <c r="B171">
        <v>198</v>
      </c>
      <c r="C171" t="s">
        <v>225</v>
      </c>
      <c r="D171">
        <v>134.19999999999999</v>
      </c>
      <c r="E171" t="s">
        <v>226</v>
      </c>
    </row>
    <row r="172" spans="1:5" x14ac:dyDescent="0.3">
      <c r="A172">
        <v>171</v>
      </c>
      <c r="B172">
        <v>200</v>
      </c>
      <c r="C172" t="s">
        <v>220</v>
      </c>
      <c r="D172">
        <v>95.5</v>
      </c>
      <c r="E172" t="s">
        <v>224</v>
      </c>
    </row>
    <row r="173" spans="1:5" x14ac:dyDescent="0.3">
      <c r="A173">
        <v>172</v>
      </c>
      <c r="B173">
        <v>25</v>
      </c>
      <c r="C173" t="s">
        <v>217</v>
      </c>
      <c r="D173">
        <v>247.4</v>
      </c>
      <c r="E173" t="s">
        <v>226</v>
      </c>
    </row>
    <row r="174" spans="1:5" x14ac:dyDescent="0.3">
      <c r="A174">
        <v>173</v>
      </c>
      <c r="B174">
        <v>89</v>
      </c>
      <c r="C174" t="s">
        <v>225</v>
      </c>
      <c r="D174">
        <v>214.7</v>
      </c>
      <c r="E174" t="s">
        <v>224</v>
      </c>
    </row>
    <row r="175" spans="1:5" x14ac:dyDescent="0.3">
      <c r="A175">
        <v>174</v>
      </c>
      <c r="B175">
        <v>12</v>
      </c>
      <c r="C175" t="s">
        <v>222</v>
      </c>
      <c r="D175">
        <v>174.5</v>
      </c>
      <c r="E175" t="s">
        <v>224</v>
      </c>
    </row>
    <row r="176" spans="1:5" x14ac:dyDescent="0.3">
      <c r="A176">
        <v>175</v>
      </c>
      <c r="B176">
        <v>143</v>
      </c>
      <c r="C176" t="s">
        <v>225</v>
      </c>
      <c r="D176">
        <v>188.8</v>
      </c>
      <c r="E176" t="s">
        <v>226</v>
      </c>
    </row>
    <row r="177" spans="1:5" x14ac:dyDescent="0.3">
      <c r="A177">
        <v>176</v>
      </c>
      <c r="B177">
        <v>59</v>
      </c>
      <c r="C177" t="s">
        <v>215</v>
      </c>
      <c r="D177">
        <v>229.8</v>
      </c>
      <c r="E177" t="s">
        <v>221</v>
      </c>
    </row>
    <row r="178" spans="1:5" x14ac:dyDescent="0.3">
      <c r="A178">
        <v>177</v>
      </c>
      <c r="B178">
        <v>154</v>
      </c>
      <c r="C178" t="s">
        <v>217</v>
      </c>
      <c r="D178">
        <v>107.1</v>
      </c>
      <c r="E178" t="s">
        <v>218</v>
      </c>
    </row>
    <row r="179" spans="1:5" x14ac:dyDescent="0.3">
      <c r="A179">
        <v>178</v>
      </c>
      <c r="B179">
        <v>109</v>
      </c>
      <c r="C179" t="s">
        <v>215</v>
      </c>
      <c r="D179">
        <v>299.10000000000002</v>
      </c>
      <c r="E179" t="s">
        <v>216</v>
      </c>
    </row>
    <row r="180" spans="1:5" x14ac:dyDescent="0.3">
      <c r="A180">
        <v>179</v>
      </c>
      <c r="B180">
        <v>26</v>
      </c>
      <c r="C180" t="s">
        <v>217</v>
      </c>
      <c r="D180">
        <v>293.7</v>
      </c>
      <c r="E180" t="s">
        <v>224</v>
      </c>
    </row>
    <row r="181" spans="1:5" x14ac:dyDescent="0.3">
      <c r="A181">
        <v>180</v>
      </c>
      <c r="B181">
        <v>47</v>
      </c>
      <c r="C181" t="s">
        <v>215</v>
      </c>
      <c r="D181">
        <v>212.6</v>
      </c>
      <c r="E181" t="s">
        <v>219</v>
      </c>
    </row>
    <row r="182" spans="1:5" x14ac:dyDescent="0.3">
      <c r="A182">
        <v>181</v>
      </c>
      <c r="B182">
        <v>32</v>
      </c>
      <c r="C182" t="s">
        <v>225</v>
      </c>
      <c r="D182">
        <v>99.9</v>
      </c>
      <c r="E182" t="s">
        <v>219</v>
      </c>
    </row>
    <row r="183" spans="1:5" x14ac:dyDescent="0.3">
      <c r="A183">
        <v>182</v>
      </c>
      <c r="B183">
        <v>10</v>
      </c>
      <c r="C183" t="s">
        <v>225</v>
      </c>
      <c r="D183">
        <v>220.1</v>
      </c>
      <c r="E183" t="s">
        <v>218</v>
      </c>
    </row>
    <row r="184" spans="1:5" x14ac:dyDescent="0.3">
      <c r="A184">
        <v>183</v>
      </c>
      <c r="B184">
        <v>16</v>
      </c>
      <c r="C184" t="s">
        <v>220</v>
      </c>
      <c r="D184">
        <v>68</v>
      </c>
      <c r="E184" t="s">
        <v>219</v>
      </c>
    </row>
    <row r="185" spans="1:5" x14ac:dyDescent="0.3">
      <c r="A185">
        <v>184</v>
      </c>
      <c r="B185">
        <v>199</v>
      </c>
      <c r="C185" t="s">
        <v>222</v>
      </c>
      <c r="D185">
        <v>57.7</v>
      </c>
      <c r="E185" t="s">
        <v>221</v>
      </c>
    </row>
    <row r="186" spans="1:5" x14ac:dyDescent="0.3">
      <c r="A186">
        <v>185</v>
      </c>
      <c r="B186">
        <v>145</v>
      </c>
      <c r="C186" t="s">
        <v>215</v>
      </c>
      <c r="D186">
        <v>114.4</v>
      </c>
      <c r="E186" t="s">
        <v>219</v>
      </c>
    </row>
    <row r="187" spans="1:5" x14ac:dyDescent="0.3">
      <c r="A187">
        <v>186</v>
      </c>
      <c r="B187">
        <v>151</v>
      </c>
      <c r="C187" t="s">
        <v>223</v>
      </c>
      <c r="D187">
        <v>165.7</v>
      </c>
      <c r="E187" t="s">
        <v>216</v>
      </c>
    </row>
    <row r="188" spans="1:5" x14ac:dyDescent="0.3">
      <c r="A188">
        <v>187</v>
      </c>
      <c r="B188">
        <v>26</v>
      </c>
      <c r="C188" t="s">
        <v>220</v>
      </c>
      <c r="D188">
        <v>267.10000000000002</v>
      </c>
      <c r="E188" t="s">
        <v>216</v>
      </c>
    </row>
    <row r="189" spans="1:5" x14ac:dyDescent="0.3">
      <c r="A189">
        <v>188</v>
      </c>
      <c r="B189">
        <v>86</v>
      </c>
      <c r="C189" t="s">
        <v>215</v>
      </c>
      <c r="D189">
        <v>231.8</v>
      </c>
      <c r="E189" t="s">
        <v>224</v>
      </c>
    </row>
    <row r="190" spans="1:5" x14ac:dyDescent="0.3">
      <c r="A190">
        <v>189</v>
      </c>
      <c r="B190">
        <v>135</v>
      </c>
      <c r="C190" t="s">
        <v>215</v>
      </c>
      <c r="D190">
        <v>235.7</v>
      </c>
      <c r="E190" t="s">
        <v>226</v>
      </c>
    </row>
    <row r="191" spans="1:5" x14ac:dyDescent="0.3">
      <c r="A191">
        <v>190</v>
      </c>
      <c r="B191">
        <v>14</v>
      </c>
      <c r="C191" t="s">
        <v>220</v>
      </c>
      <c r="D191">
        <v>156.4</v>
      </c>
      <c r="E191" t="s">
        <v>221</v>
      </c>
    </row>
    <row r="192" spans="1:5" x14ac:dyDescent="0.3">
      <c r="A192">
        <v>191</v>
      </c>
      <c r="B192">
        <v>79</v>
      </c>
      <c r="C192" t="s">
        <v>225</v>
      </c>
      <c r="D192">
        <v>136.5</v>
      </c>
      <c r="E192" t="s">
        <v>224</v>
      </c>
    </row>
    <row r="193" spans="1:5" x14ac:dyDescent="0.3">
      <c r="A193">
        <v>192</v>
      </c>
      <c r="B193">
        <v>117</v>
      </c>
      <c r="C193" t="s">
        <v>215</v>
      </c>
      <c r="D193">
        <v>142.80000000000001</v>
      </c>
      <c r="E193" t="s">
        <v>221</v>
      </c>
    </row>
    <row r="194" spans="1:5" x14ac:dyDescent="0.3">
      <c r="A194">
        <v>193</v>
      </c>
      <c r="B194">
        <v>7</v>
      </c>
      <c r="C194" t="s">
        <v>225</v>
      </c>
      <c r="D194">
        <v>296.89999999999998</v>
      </c>
      <c r="E194" t="s">
        <v>226</v>
      </c>
    </row>
    <row r="195" spans="1:5" x14ac:dyDescent="0.3">
      <c r="A195">
        <v>194</v>
      </c>
      <c r="B195">
        <v>137</v>
      </c>
      <c r="C195" t="s">
        <v>220</v>
      </c>
      <c r="D195">
        <v>60</v>
      </c>
      <c r="E195" t="s">
        <v>219</v>
      </c>
    </row>
    <row r="196" spans="1:5" x14ac:dyDescent="0.3">
      <c r="A196">
        <v>195</v>
      </c>
      <c r="B196">
        <v>115</v>
      </c>
      <c r="C196" t="s">
        <v>225</v>
      </c>
      <c r="D196">
        <v>266.8</v>
      </c>
      <c r="E196" t="s">
        <v>219</v>
      </c>
    </row>
    <row r="197" spans="1:5" x14ac:dyDescent="0.3">
      <c r="A197">
        <v>196</v>
      </c>
      <c r="B197">
        <v>176</v>
      </c>
      <c r="C197" t="s">
        <v>217</v>
      </c>
      <c r="D197">
        <v>194.7</v>
      </c>
      <c r="E197" t="s">
        <v>226</v>
      </c>
    </row>
    <row r="198" spans="1:5" x14ac:dyDescent="0.3">
      <c r="A198">
        <v>197</v>
      </c>
      <c r="B198">
        <v>72</v>
      </c>
      <c r="C198" t="s">
        <v>223</v>
      </c>
      <c r="D198">
        <v>159.69999999999999</v>
      </c>
      <c r="E198" t="s">
        <v>224</v>
      </c>
    </row>
    <row r="199" spans="1:5" x14ac:dyDescent="0.3">
      <c r="A199">
        <v>198</v>
      </c>
      <c r="B199">
        <v>59</v>
      </c>
      <c r="C199" t="s">
        <v>215</v>
      </c>
      <c r="D199">
        <v>231.3</v>
      </c>
      <c r="E199" t="s">
        <v>226</v>
      </c>
    </row>
    <row r="200" spans="1:5" x14ac:dyDescent="0.3">
      <c r="A200">
        <v>199</v>
      </c>
      <c r="B200">
        <v>82</v>
      </c>
      <c r="C200" t="s">
        <v>222</v>
      </c>
      <c r="D200">
        <v>171.7</v>
      </c>
      <c r="E200" t="s">
        <v>218</v>
      </c>
    </row>
    <row r="201" spans="1:5" x14ac:dyDescent="0.3">
      <c r="A201">
        <v>200</v>
      </c>
      <c r="B201">
        <v>116</v>
      </c>
      <c r="C201" t="s">
        <v>223</v>
      </c>
      <c r="D201">
        <v>268.39999999999998</v>
      </c>
      <c r="E201" t="s">
        <v>216</v>
      </c>
    </row>
  </sheetData>
  <autoFilter ref="A1:E201" xr:uid="{1F8B1D25-0392-4FDC-9B10-3D88454456D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3388-C97D-42C0-B9EF-34DDA035666A}">
  <dimension ref="A1:B11"/>
  <sheetViews>
    <sheetView workbookViewId="0">
      <selection sqref="A1:B11"/>
    </sheetView>
  </sheetViews>
  <sheetFormatPr defaultRowHeight="14.4" x14ac:dyDescent="0.3"/>
  <sheetData>
    <row r="1" spans="1:2" x14ac:dyDescent="0.3">
      <c r="A1" t="s">
        <v>4</v>
      </c>
      <c r="B1" t="s">
        <v>227</v>
      </c>
    </row>
    <row r="2" spans="1:2" x14ac:dyDescent="0.3">
      <c r="A2">
        <v>1</v>
      </c>
      <c r="B2" t="s">
        <v>228</v>
      </c>
    </row>
    <row r="3" spans="1:2" x14ac:dyDescent="0.3">
      <c r="A3">
        <v>2</v>
      </c>
      <c r="B3" t="s">
        <v>229</v>
      </c>
    </row>
    <row r="4" spans="1:2" x14ac:dyDescent="0.3">
      <c r="A4">
        <v>3</v>
      </c>
      <c r="B4" t="s">
        <v>230</v>
      </c>
    </row>
    <row r="5" spans="1:2" x14ac:dyDescent="0.3">
      <c r="A5">
        <v>4</v>
      </c>
      <c r="B5" t="s">
        <v>231</v>
      </c>
    </row>
    <row r="6" spans="1:2" x14ac:dyDescent="0.3">
      <c r="A6">
        <v>5</v>
      </c>
      <c r="B6" t="s">
        <v>232</v>
      </c>
    </row>
    <row r="7" spans="1:2" x14ac:dyDescent="0.3">
      <c r="A7">
        <v>6</v>
      </c>
      <c r="B7" t="s">
        <v>233</v>
      </c>
    </row>
    <row r="8" spans="1:2" x14ac:dyDescent="0.3">
      <c r="A8">
        <v>7</v>
      </c>
      <c r="B8" t="s">
        <v>234</v>
      </c>
    </row>
    <row r="9" spans="1:2" x14ac:dyDescent="0.3">
      <c r="A9">
        <v>8</v>
      </c>
      <c r="B9" t="s">
        <v>235</v>
      </c>
    </row>
    <row r="10" spans="1:2" x14ac:dyDescent="0.3">
      <c r="A10">
        <v>9</v>
      </c>
      <c r="B10" t="s">
        <v>236</v>
      </c>
    </row>
    <row r="11" spans="1:2" x14ac:dyDescent="0.3">
      <c r="A11">
        <v>10</v>
      </c>
      <c r="B11" t="s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ABE1-F9E8-4BCB-83CD-D1EB7B17A008}">
  <dimension ref="A1:B4"/>
  <sheetViews>
    <sheetView workbookViewId="0">
      <selection sqref="A1:B4"/>
    </sheetView>
  </sheetViews>
  <sheetFormatPr defaultRowHeight="14.4" x14ac:dyDescent="0.3"/>
  <cols>
    <col min="1" max="1" width="10.33203125" bestFit="1" customWidth="1"/>
    <col min="2" max="2" width="13.5546875" bestFit="1" customWidth="1"/>
  </cols>
  <sheetData>
    <row r="1" spans="1:2" x14ac:dyDescent="0.3">
      <c r="A1" t="s">
        <v>7</v>
      </c>
      <c r="B1" t="s">
        <v>238</v>
      </c>
    </row>
    <row r="2" spans="1:2" x14ac:dyDescent="0.3">
      <c r="A2">
        <v>1</v>
      </c>
      <c r="B2" t="s">
        <v>239</v>
      </c>
    </row>
    <row r="3" spans="1:2" x14ac:dyDescent="0.3">
      <c r="A3">
        <v>2</v>
      </c>
      <c r="B3" t="s">
        <v>240</v>
      </c>
    </row>
    <row r="4" spans="1:2" x14ac:dyDescent="0.3">
      <c r="A4">
        <v>3</v>
      </c>
      <c r="B4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Labs</vt:lpstr>
      <vt:lpstr>Diagnosis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Aditya</dc:creator>
  <cp:lastModifiedBy>Keshav Aditya</cp:lastModifiedBy>
  <dcterms:created xsi:type="dcterms:W3CDTF">2026-05-31T06:26:15Z</dcterms:created>
  <dcterms:modified xsi:type="dcterms:W3CDTF">2026-05-31T12:17:28Z</dcterms:modified>
</cp:coreProperties>
</file>